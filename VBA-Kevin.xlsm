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\excel\"/>
    </mc:Choice>
  </mc:AlternateContent>
  <xr:revisionPtr revIDLastSave="0" documentId="13_ncr:1_{6C161A30-23AC-4A65-98FB-0862AE5D6168}" xr6:coauthVersionLast="47" xr6:coauthVersionMax="47" xr10:uidLastSave="{00000000-0000-0000-0000-000000000000}"/>
  <bookViews>
    <workbookView xWindow="-120" yWindow="-120" windowWidth="29040" windowHeight="15720" activeTab="1" xr2:uid="{9ABF5FAE-D7EE-451C-83AD-58E1685380EF}"/>
  </bookViews>
  <sheets>
    <sheet name="Sheets" sheetId="2" r:id="rId1"/>
    <sheet name="Formulas" sheetId="3" r:id="rId2"/>
    <sheet name="temp" sheetId="5" r:id="rId3"/>
    <sheet name="sys" sheetId="6" r:id="rId4"/>
    <sheet name="Batch" sheetId="7" r:id="rId5"/>
    <sheet name="取数" sheetId="8" r:id="rId6"/>
  </sheets>
  <functionGroups builtInGroupCount="19"/>
  <externalReferences>
    <externalReference r:id="rId7"/>
    <externalReference r:id="rId8"/>
  </externalReferences>
  <definedNames>
    <definedName name="_xlnm._FilterDatabase" localSheetId="4" hidden="1">Batch!$A$1:$AX$1</definedName>
    <definedName name="_xlnm._FilterDatabase" localSheetId="1" hidden="1">Formulas!$A$1:$E$77</definedName>
    <definedName name="_xlnm._FilterDatabase" localSheetId="0" hidden="1">Sheets!$A$1:$D$6</definedName>
    <definedName name="_xlnm._FilterDatabase" localSheetId="2" hidden="1">temp!$A$1:$A$1084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3" l="1"/>
  <c r="T4" i="3"/>
  <c r="T5" i="3"/>
  <c r="T2" i="3"/>
  <c r="W4" i="3" a="1"/>
  <c r="W3" i="3" a="1"/>
  <c r="W5" i="3" a="1"/>
  <c r="W2" i="3" a="1"/>
  <c r="W5" i="3" l="1"/>
  <c r="W4" i="3"/>
  <c r="W3" i="3"/>
  <c r="W2" i="3"/>
  <c r="T1" i="3" s="1"/>
  <c r="C1" i="8" l="1"/>
  <c r="D1" i="8" s="1"/>
  <c r="E1" i="8" s="1"/>
  <c r="F1" i="8" s="1"/>
  <c r="G1" i="8" s="1"/>
  <c r="H1" i="8" s="1"/>
  <c r="C3" i="8"/>
  <c r="D3" i="8"/>
  <c r="E3" i="8"/>
  <c r="F3" i="8"/>
  <c r="G3" i="8"/>
  <c r="H3" i="8"/>
  <c r="C4" i="8"/>
  <c r="D4" i="8"/>
  <c r="E4" i="8"/>
  <c r="F4" i="8"/>
  <c r="G4" i="8" s="1"/>
  <c r="H4" i="8" s="1"/>
  <c r="B14" i="8"/>
  <c r="C32" i="2"/>
  <c r="C33" i="2"/>
  <c r="C39" i="2"/>
  <c r="C43" i="2"/>
  <c r="C36" i="2"/>
  <c r="C30" i="2"/>
  <c r="C41" i="2"/>
  <c r="C40" i="2"/>
  <c r="C25" i="2"/>
  <c r="C29" i="2"/>
  <c r="C28" i="2"/>
  <c r="C37" i="2"/>
  <c r="C31" i="2"/>
  <c r="C34" i="2"/>
  <c r="C35" i="2"/>
  <c r="C26" i="2"/>
  <c r="C38" i="2"/>
  <c r="C42" i="2"/>
  <c r="C27" i="2"/>
  <c r="C2" i="2" a="1"/>
  <c r="F5" i="8" a="1"/>
  <c r="E5" i="8" a="1"/>
  <c r="C5" i="8" a="1"/>
  <c r="H5" i="8" a="1"/>
  <c r="G5" i="8" a="1"/>
  <c r="B5" i="8" a="1"/>
  <c r="D5" i="8" a="1"/>
  <c r="C2" i="2" l="1"/>
  <c r="B5" i="8"/>
  <c r="F5" i="8"/>
  <c r="H5" i="8"/>
  <c r="G5" i="8"/>
  <c r="E5" i="8"/>
  <c r="D5" i="8"/>
  <c r="C5" i="8"/>
  <c r="AF1" i="7"/>
  <c r="AC1" i="7"/>
  <c r="AT1" i="7"/>
  <c r="AT2" i="7"/>
  <c r="B38" i="2" a="1"/>
  <c r="C10" i="2"/>
  <c r="C11" i="2"/>
  <c r="B27" i="2" a="1"/>
  <c r="C3" i="2"/>
  <c r="B32" i="2" a="1"/>
  <c r="C22" i="2"/>
  <c r="C19" i="2"/>
  <c r="C23" i="2"/>
  <c r="B39" i="2" a="1"/>
  <c r="C16" i="2"/>
  <c r="B28" i="2" a="1"/>
  <c r="C4" i="2"/>
  <c r="C20" i="2"/>
  <c r="C9" i="2"/>
  <c r="B31" i="2" a="1"/>
  <c r="B37" i="2" a="1"/>
  <c r="C24" i="2"/>
  <c r="B33" i="2" a="1"/>
  <c r="C12" i="2"/>
  <c r="C7" i="2"/>
  <c r="C18" i="2"/>
  <c r="B26" i="2" a="1"/>
  <c r="C6" i="2"/>
  <c r="C21" i="2"/>
  <c r="B40" i="2" a="1"/>
  <c r="C14" i="2"/>
  <c r="C15" i="2"/>
  <c r="B41" i="2" a="1"/>
  <c r="B25" i="2" a="1"/>
  <c r="B35" i="2" a="1"/>
  <c r="B36" i="2" a="1"/>
  <c r="B30" i="2" a="1"/>
  <c r="B34" i="2" a="1"/>
  <c r="C13" i="2"/>
  <c r="C8" i="2"/>
  <c r="B2" i="2" a="1"/>
  <c r="B43" i="2" a="1"/>
  <c r="B29" i="2" a="1"/>
  <c r="C17" i="2"/>
  <c r="B42" i="2" a="1"/>
  <c r="C5" i="2"/>
  <c r="B33" i="2" l="1"/>
  <c r="B25" i="2"/>
  <c r="B27" i="2"/>
  <c r="B32" i="2"/>
  <c r="B35" i="2"/>
  <c r="B31" i="2"/>
  <c r="B28" i="2"/>
  <c r="B41" i="2"/>
  <c r="B42" i="2"/>
  <c r="B39" i="2"/>
  <c r="B40" i="2"/>
  <c r="B43" i="2"/>
  <c r="B36" i="2"/>
  <c r="B30" i="2"/>
  <c r="B38" i="2"/>
  <c r="B26" i="2"/>
  <c r="B37" i="2"/>
  <c r="B34" i="2"/>
  <c r="B29" i="2"/>
  <c r="B2" i="2"/>
  <c r="P1" i="3"/>
  <c r="P2" i="3"/>
  <c r="M5" i="3"/>
  <c r="M6" i="3" s="1"/>
  <c r="AZ27" i="7"/>
  <c r="AZ26" i="7"/>
  <c r="AZ25" i="7"/>
  <c r="AZ24" i="7"/>
  <c r="AZ23" i="7"/>
  <c r="AZ22" i="7"/>
  <c r="AZ21" i="7"/>
  <c r="AZ20" i="7"/>
  <c r="AZ19" i="7"/>
  <c r="AZ18" i="7"/>
  <c r="AZ17" i="7"/>
  <c r="AZ16" i="7"/>
  <c r="AZ15" i="7"/>
  <c r="AZ14" i="7"/>
  <c r="AZ13" i="7"/>
  <c r="AZ12" i="7"/>
  <c r="AZ11" i="7"/>
  <c r="AZ10" i="7"/>
  <c r="AZ9" i="7"/>
  <c r="AZ8" i="7"/>
  <c r="AZ7" i="7"/>
  <c r="AZ6" i="7"/>
  <c r="B6" i="7"/>
  <c r="AZ5" i="7"/>
  <c r="B5" i="7"/>
  <c r="AZ4" i="7"/>
  <c r="AA4" i="7"/>
  <c r="AA5" i="7" s="1"/>
  <c r="AA6" i="7" s="1"/>
  <c r="AA7" i="7" s="1"/>
  <c r="AA8" i="7" s="1"/>
  <c r="AA9" i="7" s="1"/>
  <c r="AA10" i="7" s="1"/>
  <c r="AA11" i="7" s="1"/>
  <c r="AA12" i="7" s="1"/>
  <c r="AA13" i="7" s="1"/>
  <c r="AA14" i="7" s="1"/>
  <c r="AA15" i="7" s="1"/>
  <c r="AA16" i="7" s="1"/>
  <c r="AA17" i="7" s="1"/>
  <c r="AA18" i="7" s="1"/>
  <c r="AA19" i="7" s="1"/>
  <c r="AA20" i="7" s="1"/>
  <c r="AA21" i="7" s="1"/>
  <c r="AA22" i="7" s="1"/>
  <c r="AA23" i="7" s="1"/>
  <c r="AA24" i="7" s="1"/>
  <c r="AA25" i="7" s="1"/>
  <c r="AA26" i="7" s="1"/>
  <c r="AA27" i="7" s="1"/>
  <c r="AA28" i="7" s="1"/>
  <c r="B4" i="7"/>
  <c r="AZ3" i="7"/>
  <c r="B3" i="7"/>
  <c r="AZ2" i="7"/>
  <c r="T2" i="7"/>
  <c r="AZ1" i="7"/>
  <c r="AR1" i="7"/>
  <c r="AP1" i="7"/>
  <c r="AN1" i="7"/>
  <c r="AI1" i="7"/>
  <c r="Y1" i="7"/>
  <c r="W1" i="7"/>
  <c r="T1" i="7"/>
  <c r="N1" i="7"/>
  <c r="L1" i="7"/>
  <c r="I1" i="7"/>
  <c r="E1" i="7"/>
  <c r="B1" i="7"/>
  <c r="B29" i="6"/>
  <c r="B28" i="6"/>
  <c r="B27" i="6"/>
  <c r="B25" i="6"/>
  <c r="B24" i="6"/>
  <c r="B23" i="6"/>
  <c r="B22" i="6"/>
  <c r="B21" i="6"/>
  <c r="B20" i="6"/>
  <c r="B19" i="6"/>
  <c r="B18" i="6"/>
  <c r="B17" i="6"/>
  <c r="B16" i="6"/>
  <c r="B15" i="6"/>
  <c r="B14" i="6"/>
  <c r="B12" i="2" a="1"/>
  <c r="B10" i="2" a="1"/>
  <c r="B15" i="2" a="1"/>
  <c r="B9" i="2" a="1"/>
  <c r="B5" i="2" a="1"/>
  <c r="B3" i="2" a="1"/>
  <c r="B21" i="2" a="1"/>
  <c r="B20" i="2" a="1"/>
  <c r="B23" i="2" a="1"/>
  <c r="B22" i="2" a="1"/>
  <c r="B18" i="2" a="1"/>
  <c r="B16" i="2" a="1"/>
  <c r="B7" i="2" a="1"/>
  <c r="B14" i="2" a="1"/>
  <c r="B13" i="2" a="1"/>
  <c r="B24" i="2" a="1"/>
  <c r="B11" i="2" a="1"/>
  <c r="B19" i="2" a="1"/>
  <c r="B6" i="2" a="1"/>
  <c r="B8" i="2" a="1"/>
  <c r="B4" i="2" a="1"/>
  <c r="B17" i="2" a="1"/>
  <c r="B8" i="2" l="1"/>
  <c r="B24" i="2"/>
  <c r="B6" i="2"/>
  <c r="B9" i="2"/>
  <c r="B12" i="2"/>
  <c r="B19" i="2"/>
  <c r="B7" i="2"/>
  <c r="B22" i="2"/>
  <c r="B18" i="2"/>
  <c r="B5" i="2"/>
  <c r="B14" i="2"/>
  <c r="B4" i="2"/>
  <c r="B23" i="2"/>
  <c r="B15" i="2"/>
  <c r="B10" i="2"/>
  <c r="B21" i="2"/>
  <c r="B20" i="2"/>
  <c r="B17" i="2"/>
  <c r="B16" i="2"/>
  <c r="B13" i="2"/>
  <c r="B3" i="2"/>
  <c r="B11" i="2"/>
  <c r="F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<sst xmlns="http://schemas.openxmlformats.org/spreadsheetml/2006/main" count="1822" uniqueCount="744">
  <si>
    <t>文件路径及名字:</t>
  </si>
  <si>
    <t>合并后小表名</t>
    <phoneticPr fontId="0" type="noConversion"/>
  </si>
  <si>
    <t>文件名称</t>
    <phoneticPr fontId="0" type="noConversion"/>
  </si>
  <si>
    <t>小表名（sheet)</t>
    <phoneticPr fontId="2" type="noConversion"/>
  </si>
  <si>
    <t>如果小表名为空，则合并第1个小表；如果小表名为“全”，则合并所有小表；如果小表名为具体名称，则合并表中对应的小表</t>
  </si>
  <si>
    <t>内部债权债务明细表</t>
  </si>
  <si>
    <t>合并报表底稿</t>
  </si>
  <si>
    <t>资产负债表</t>
  </si>
  <si>
    <t>利润表</t>
  </si>
  <si>
    <t>现金流量表</t>
  </si>
  <si>
    <t>销售费用表</t>
  </si>
  <si>
    <t>管理费用表</t>
  </si>
  <si>
    <t>财务费用表</t>
  </si>
  <si>
    <t>尧柏data表</t>
  </si>
  <si>
    <t>尧柏材料价格表-水泥</t>
  </si>
  <si>
    <t>余热发电</t>
  </si>
  <si>
    <t>制造费用</t>
  </si>
  <si>
    <t>产品买卖表-主营业务收入</t>
  </si>
  <si>
    <t>重分类</t>
  </si>
  <si>
    <t>内部收入明细表</t>
  </si>
  <si>
    <t>内部现金流量表</t>
  </si>
  <si>
    <t>VBA功能</t>
    <phoneticPr fontId="2" type="noConversion"/>
  </si>
  <si>
    <t>文件</t>
    <phoneticPr fontId="2" type="noConversion"/>
  </si>
  <si>
    <t>类别</t>
    <phoneticPr fontId="2" type="noConversion"/>
  </si>
  <si>
    <t>编码</t>
    <phoneticPr fontId="2" type="noConversion"/>
  </si>
  <si>
    <t>功能</t>
    <phoneticPr fontId="2" type="noConversion"/>
  </si>
  <si>
    <t>T_between</t>
  </si>
  <si>
    <t>加载项-田.xlam</t>
    <phoneticPr fontId="2" type="noConversion"/>
  </si>
  <si>
    <t>自定义函数</t>
  </si>
  <si>
    <t>T_findint</t>
  </si>
  <si>
    <t>T_findchar</t>
  </si>
  <si>
    <t>t_findchinese</t>
  </si>
  <si>
    <t>t_cfl</t>
  </si>
  <si>
    <t>t_vlookup</t>
  </si>
  <si>
    <t>t_findlast</t>
  </si>
  <si>
    <t>Money</t>
  </si>
  <si>
    <t>t_findsame</t>
  </si>
  <si>
    <t>t_gs_num</t>
  </si>
  <si>
    <t>t_partstr</t>
    <phoneticPr fontId="2" type="noConversion"/>
  </si>
  <si>
    <t>取原文本指定位置字符拼接</t>
    <phoneticPr fontId="2" type="noConversion"/>
  </si>
  <si>
    <t>t_tax</t>
  </si>
  <si>
    <t>计算个税</t>
    <phoneticPr fontId="2" type="noConversion"/>
  </si>
  <si>
    <t>复印粘贴</t>
  </si>
  <si>
    <t>自定义函数.xlsm</t>
    <phoneticPr fontId="2" type="noConversion"/>
  </si>
  <si>
    <t>批量功能</t>
    <phoneticPr fontId="2" type="noConversion"/>
  </si>
  <si>
    <t>替换</t>
  </si>
  <si>
    <t>批量—合并</t>
  </si>
  <si>
    <t>添加文件夹</t>
  </si>
  <si>
    <t>筛选</t>
  </si>
  <si>
    <t>关闭文件</t>
  </si>
  <si>
    <t>数据透视表</t>
  </si>
  <si>
    <t>小表名重命名</t>
  </si>
  <si>
    <t>转换为数值</t>
  </si>
  <si>
    <t>复制文件</t>
    <phoneticPr fontId="2" type="noConversion"/>
  </si>
  <si>
    <t>复制一文件到另一位置并可重命名</t>
    <phoneticPr fontId="2" type="noConversion"/>
  </si>
  <si>
    <t>文件管理</t>
  </si>
  <si>
    <t>常用功能</t>
    <phoneticPr fontId="2" type="noConversion"/>
  </si>
  <si>
    <t>修改文件名</t>
  </si>
  <si>
    <t>添加目录表及超链接</t>
  </si>
  <si>
    <t>撤消工作表保护</t>
  </si>
  <si>
    <t>合并目录下多电子表</t>
  </si>
  <si>
    <t>合并多小表</t>
  </si>
  <si>
    <t>选择至最后行</t>
  </si>
  <si>
    <t>合并为一列</t>
  </si>
  <si>
    <t>筛选状态下粘贴</t>
  </si>
  <si>
    <t>复制全部单元格</t>
  </si>
  <si>
    <t>求和</t>
  </si>
  <si>
    <t>复制多重区域</t>
  </si>
  <si>
    <t>插入对号</t>
  </si>
  <si>
    <t>显示行列</t>
  </si>
  <si>
    <t>单元格调换</t>
  </si>
  <si>
    <t>删除空白行列</t>
  </si>
  <si>
    <t>去空格</t>
  </si>
  <si>
    <t>转正值</t>
  </si>
  <si>
    <t>填充公式</t>
  </si>
  <si>
    <t>复制</t>
  </si>
  <si>
    <t>删除图片</t>
  </si>
  <si>
    <t>修改文件夹名</t>
    <phoneticPr fontId="2" type="noConversion"/>
  </si>
  <si>
    <t>批量替换文件名</t>
    <phoneticPr fontId="2" type="noConversion"/>
  </si>
  <si>
    <t>格式调整0数字</t>
  </si>
  <si>
    <t>格式整理</t>
    <phoneticPr fontId="2" type="noConversion"/>
  </si>
  <si>
    <t>格式调整0文本</t>
  </si>
  <si>
    <t>边框</t>
  </si>
  <si>
    <t>调整列顺序</t>
  </si>
  <si>
    <t>数据比较</t>
  </si>
  <si>
    <t>调整表顺序</t>
  </si>
  <si>
    <t>打印设置</t>
  </si>
  <si>
    <t>报告附表</t>
  </si>
  <si>
    <t>拆分合并单元格</t>
  </si>
  <si>
    <t>合并</t>
  </si>
  <si>
    <t>重复上一单元格</t>
  </si>
  <si>
    <t>合一对多</t>
  </si>
  <si>
    <t>合并单元格</t>
  </si>
  <si>
    <t>合计金额并合并</t>
  </si>
  <si>
    <t>拆分表</t>
  </si>
  <si>
    <t>分摊金额</t>
    <phoneticPr fontId="2" type="noConversion"/>
  </si>
  <si>
    <t>数据整理</t>
    <phoneticPr fontId="2" type="noConversion"/>
  </si>
  <si>
    <t>将一个金额按比例分摊至各单元格</t>
    <phoneticPr fontId="2" type="noConversion"/>
  </si>
  <si>
    <t>底稿目录</t>
  </si>
  <si>
    <t>中瑞岳华.xlsm</t>
    <phoneticPr fontId="2" type="noConversion"/>
  </si>
  <si>
    <t>底稿模板</t>
    <phoneticPr fontId="2" type="noConversion"/>
  </si>
  <si>
    <t>底稿索引</t>
  </si>
  <si>
    <t>生成表头公式</t>
  </si>
  <si>
    <t>明细0长期挂账表</t>
  </si>
  <si>
    <t>生成底稿明细</t>
  </si>
  <si>
    <t>审计说明</t>
  </si>
  <si>
    <t>程序表索引</t>
  </si>
  <si>
    <t>生成附件说明</t>
  </si>
  <si>
    <t>凭证</t>
    <phoneticPr fontId="2" type="noConversion"/>
  </si>
  <si>
    <t>通用检查表筛选</t>
  </si>
  <si>
    <t>科目余额表格式</t>
  </si>
  <si>
    <t>科目全称</t>
  </si>
  <si>
    <t>方向合一列</t>
  </si>
  <si>
    <t>标志列0凭证编码</t>
  </si>
  <si>
    <t>序时账借贷</t>
  </si>
  <si>
    <t>月份</t>
  </si>
  <si>
    <t>试算平衡表合并</t>
  </si>
  <si>
    <t>合并报表</t>
  </si>
  <si>
    <t>保留公式</t>
  </si>
  <si>
    <t>数字代码转字符</t>
    <phoneticPr fontId="2" type="noConversion"/>
  </si>
  <si>
    <t>char</t>
    <phoneticPr fontId="2" type="noConversion"/>
  </si>
  <si>
    <t>字符对应数字代码</t>
    <phoneticPr fontId="2" type="noConversion"/>
  </si>
  <si>
    <t>code</t>
    <phoneticPr fontId="2" type="noConversion"/>
  </si>
  <si>
    <t>A</t>
    <phoneticPr fontId="2" type="noConversion"/>
  </si>
  <si>
    <t>拆分合并</t>
    <phoneticPr fontId="2" type="noConversion"/>
  </si>
  <si>
    <t>IF(D3="",E2,C5)</t>
    <phoneticPr fontId="2" type="noConversion"/>
  </si>
  <si>
    <t>插入对号</t>
    <phoneticPr fontId="2" type="noConversion"/>
  </si>
  <si>
    <t>显示所选行列</t>
    <phoneticPr fontId="2" type="noConversion"/>
  </si>
  <si>
    <t>编码规则</t>
    <phoneticPr fontId="2" type="noConversion"/>
  </si>
  <si>
    <t>编码方式</t>
    <phoneticPr fontId="2" type="noConversion"/>
  </si>
  <si>
    <t>辅助码</t>
    <phoneticPr fontId="2" type="noConversion"/>
  </si>
  <si>
    <t>收</t>
    <phoneticPr fontId="2" type="noConversion"/>
  </si>
  <si>
    <t>凭证类别</t>
    <phoneticPr fontId="2" type="noConversion"/>
  </si>
  <si>
    <t>占位</t>
    <phoneticPr fontId="2" type="noConversion"/>
  </si>
  <si>
    <t>转</t>
    <phoneticPr fontId="2" type="noConversion"/>
  </si>
  <si>
    <t>付</t>
    <phoneticPr fontId="2" type="noConversion"/>
  </si>
  <si>
    <t>月份</t>
    <phoneticPr fontId="2" type="noConversion"/>
  </si>
  <si>
    <t>凭证号</t>
    <phoneticPr fontId="2" type="noConversion"/>
  </si>
  <si>
    <t>批量替换</t>
    <phoneticPr fontId="2" type="noConversion"/>
  </si>
  <si>
    <t>批量筛选</t>
    <phoneticPr fontId="2" type="noConversion"/>
  </si>
  <si>
    <t>复制</t>
    <phoneticPr fontId="2" type="noConversion"/>
  </si>
  <si>
    <t>粘贴</t>
    <phoneticPr fontId="2" type="noConversion"/>
  </si>
  <si>
    <t>$A$81</t>
    <phoneticPr fontId="2" type="noConversion"/>
  </si>
  <si>
    <t>打开</t>
    <phoneticPr fontId="2" type="noConversion"/>
  </si>
  <si>
    <t>关闭</t>
    <phoneticPr fontId="2" type="noConversion"/>
  </si>
  <si>
    <t>数据透视表</t>
    <phoneticPr fontId="2" type="noConversion"/>
  </si>
  <si>
    <t>数据筛选</t>
    <phoneticPr fontId="2" type="noConversion"/>
  </si>
  <si>
    <t>行标签</t>
    <phoneticPr fontId="2" type="noConversion"/>
  </si>
  <si>
    <t>列标签</t>
    <phoneticPr fontId="2" type="noConversion"/>
  </si>
  <si>
    <t>数值</t>
    <phoneticPr fontId="2" type="noConversion"/>
  </si>
  <si>
    <t>小表名重命名</t>
    <phoneticPr fontId="2" type="noConversion"/>
  </si>
  <si>
    <t>新表名</t>
    <phoneticPr fontId="2" type="noConversion"/>
  </si>
  <si>
    <t>添加文件夹</t>
    <phoneticPr fontId="0" type="noConversion"/>
  </si>
  <si>
    <t>修改文件夹名</t>
    <phoneticPr fontId="0" type="noConversion"/>
  </si>
  <si>
    <t>原文件名及路径</t>
    <phoneticPr fontId="0" type="noConversion"/>
  </si>
  <si>
    <t>复制文件</t>
    <phoneticPr fontId="0" type="noConversion"/>
  </si>
  <si>
    <t>新文件名（全路径）</t>
    <phoneticPr fontId="0" type="noConversion"/>
  </si>
  <si>
    <t>工作簿</t>
    <phoneticPr fontId="0" type="noConversion"/>
  </si>
  <si>
    <t>小表</t>
    <phoneticPr fontId="0" type="noConversion"/>
  </si>
  <si>
    <t>单元格</t>
    <phoneticPr fontId="0" type="noConversion"/>
  </si>
  <si>
    <t>值</t>
    <phoneticPr fontId="0" type="noConversion"/>
  </si>
  <si>
    <t>调整小表顺序</t>
    <phoneticPr fontId="0" type="noConversion"/>
  </si>
  <si>
    <t>调整列顺序</t>
    <phoneticPr fontId="0" type="noConversion"/>
  </si>
  <si>
    <t>拆分表</t>
    <phoneticPr fontId="0" type="noConversion"/>
  </si>
  <si>
    <t>表名</t>
    <phoneticPr fontId="0" type="noConversion"/>
  </si>
  <si>
    <t>要筛选的列</t>
    <phoneticPr fontId="0" type="noConversion"/>
  </si>
  <si>
    <t>数据起始行（不含标题）</t>
    <phoneticPr fontId="0" type="noConversion"/>
  </si>
  <si>
    <t>数据末尾行（不含页脚）</t>
    <phoneticPr fontId="0" type="noConversion"/>
  </si>
  <si>
    <t>批量添加公式名称</t>
    <phoneticPr fontId="0" type="noConversion"/>
  </si>
  <si>
    <t>原名称</t>
  </si>
  <si>
    <t>替换名</t>
  </si>
  <si>
    <t>1</t>
  </si>
  <si>
    <t>运输</t>
    <phoneticPr fontId="2" type="noConversion"/>
  </si>
  <si>
    <t>[财务费用.xlsx]BVI!$E$8:$K$14</t>
  </si>
  <si>
    <t>[6、2019年预算财务费用汇总表.xlsx]BVI!$E$8:$K$14</t>
  </si>
  <si>
    <t>C:\Users\Administrator\Desktop\中瑞岳华-田坤\提供\甘肃省电力公司白银供电公司.xls</t>
    <phoneticPr fontId="2" type="noConversion"/>
  </si>
  <si>
    <t>甘肃省电力公司白银供电公司.xls</t>
  </si>
  <si>
    <t>科目性质</t>
    <phoneticPr fontId="0" type="noConversion"/>
  </si>
  <si>
    <t>核算项目</t>
    <phoneticPr fontId="0" type="noConversion"/>
  </si>
  <si>
    <t>年份</t>
    <phoneticPr fontId="0" type="noConversion"/>
  </si>
  <si>
    <t>期末余额</t>
    <phoneticPr fontId="0" type="noConversion"/>
  </si>
  <si>
    <t>2019中国西部水泥有限公司（泽西）_6-4制造费用</t>
  </si>
  <si>
    <t>泽西</t>
  </si>
  <si>
    <t>E:\我的文件\Desktop\新建文件夹\5、110千伏二十里铺变10千伏送出工程竣工决算报告.xls</t>
  </si>
  <si>
    <t>E:\中瑞诚\项目\天水农网审计\地市部分\2、1827020006110千伏玉泉变10千伏送出\x5、110千伏玉泉变10千伏送出工程竣工决算报告.xls</t>
  </si>
  <si>
    <t>Sheet2</t>
  </si>
  <si>
    <t>原资产名称</t>
  </si>
  <si>
    <t>来源</t>
    <phoneticPr fontId="0" type="noConversion"/>
  </si>
  <si>
    <t>Sheet1</t>
  </si>
  <si>
    <t>营业收入_累计</t>
  </si>
  <si>
    <t>山门口</t>
  </si>
  <si>
    <t>2</t>
  </si>
  <si>
    <t>综开</t>
    <phoneticPr fontId="2" type="noConversion"/>
  </si>
  <si>
    <t>[财务费用.xlsx]柏云!$E$8:$K$14</t>
  </si>
  <si>
    <t>[6、2019年预算财务费用汇总表.xlsx]柏云!$E$8:$K$14</t>
  </si>
  <si>
    <t>C:\Users\Administrator\Desktop\中瑞岳华-田坤\提供\甘肃省电力公司定西供电公司.xls</t>
  </si>
  <si>
    <t>甘肃省电力公司定西供电公司.xls</t>
  </si>
  <si>
    <t>单位名称</t>
    <phoneticPr fontId="0" type="noConversion"/>
  </si>
  <si>
    <t>发生额</t>
    <phoneticPr fontId="0" type="noConversion"/>
  </si>
  <si>
    <t>2019中国西部水泥有限公司（BVI）_6-4制造费用</t>
  </si>
  <si>
    <t>BVI</t>
  </si>
  <si>
    <t>E:\中瑞诚\项目\天水农网审计\地市部分\3、1827020017110千伏七里墩变10千伏送出\x5、110千伏七里墩变10千伏送出工程竣工决算报告.xls</t>
  </si>
  <si>
    <t>原资产编号</t>
  </si>
  <si>
    <t>第三行开始</t>
  </si>
  <si>
    <t>主营业务收入_累计</t>
  </si>
  <si>
    <t>沙井村</t>
  </si>
  <si>
    <t>3</t>
  </si>
  <si>
    <t>尾煤</t>
    <phoneticPr fontId="2" type="noConversion"/>
  </si>
  <si>
    <t>[财务费用.xlsx]丹凤!$E$8:$K$14</t>
  </si>
  <si>
    <t>[6、2019年预算财务费用汇总表.xlsx]丹凤!$E$8:$K$14</t>
  </si>
  <si>
    <t>C:\Users\Administrator\Desktop\中瑞岳华-田坤\提供\甘肃省电力公司甘南供电公司.xls</t>
  </si>
  <si>
    <t>甘肃省电力公司甘南供电公司.xls</t>
  </si>
  <si>
    <t>一级科目</t>
    <phoneticPr fontId="0" type="noConversion"/>
  </si>
  <si>
    <t>本期发生额-贷方</t>
  </si>
  <si>
    <t>2019集诚有限公司（香港）_6-4制造费用</t>
  </si>
  <si>
    <t>集诚</t>
  </si>
  <si>
    <t>E:\中瑞诚\项目\天水农网审计\地市部分\38、182702110011改造10千伏配电网及高损配变\x5、改造10千伏配电网及高损配变工程竣工决算报告.xls</t>
  </si>
  <si>
    <t>Sheet3</t>
  </si>
  <si>
    <t>目标资产名称</t>
  </si>
  <si>
    <t>其他业务收入_累计</t>
  </si>
  <si>
    <t>木塔寨</t>
  </si>
  <si>
    <t>4</t>
  </si>
  <si>
    <t>多经</t>
    <phoneticPr fontId="2" type="noConversion"/>
  </si>
  <si>
    <t>[财务费用.xlsx]粉磨!$E$8:$K$14</t>
  </si>
  <si>
    <t>[6、2019年预算财务费用汇总表.xlsx]粉磨!$E$8:$K$14</t>
  </si>
  <si>
    <t>C:\Users\Administrator\Desktop\中瑞岳华-田坤\提供\甘肃省电力公司机关财务.xls</t>
  </si>
  <si>
    <t>甘肃省电力公司机关财务.xls</t>
  </si>
  <si>
    <t>科目名称</t>
    <phoneticPr fontId="0" type="noConversion"/>
  </si>
  <si>
    <t>本期发生额-借方</t>
  </si>
  <si>
    <t>2019华雄控股有限公司_6-4制造费用</t>
  </si>
  <si>
    <t>无-1</t>
  </si>
  <si>
    <t>E:\中瑞诚\项目\天水农网审计\地市部分\10、1827020005天水市中医院备用电源改造工程\x5、天水市中医院备用电源改造工程竣工决算报告.xls</t>
  </si>
  <si>
    <t>Sheet6</t>
  </si>
  <si>
    <t>目标资产编号</t>
  </si>
  <si>
    <t>营业成本_累计</t>
  </si>
  <si>
    <t>科技路</t>
  </si>
  <si>
    <t>5</t>
  </si>
  <si>
    <t>科工贸本部</t>
    <phoneticPr fontId="2" type="noConversion"/>
  </si>
  <si>
    <t>[财务费用.xlsx]富达!$E$8:$K$14</t>
  </si>
  <si>
    <t>[6、2019年预算财务费用汇总表.xlsx]富达!$E$8:$K$14</t>
  </si>
  <si>
    <t>C:\Users\Administrator\Desktop\中瑞岳华-田坤\提供\甘肃省电力公司嘉峪关供电公司.xls</t>
  </si>
  <si>
    <t>甘肃省电力公司嘉峪关供电公司.xls</t>
  </si>
  <si>
    <t>科目代码</t>
    <phoneticPr fontId="0" type="noConversion"/>
  </si>
  <si>
    <t>2019雄诚控股有限公司_6-4制造费用</t>
  </si>
  <si>
    <t>无-2</t>
  </si>
  <si>
    <t>E:\中瑞诚\项目\天水农网审计\地市部分\11、18270200072009年配网柱上油开关更换工程\x5、2009年配网柱上油开关更换工程竣工决算报告.xls</t>
  </si>
  <si>
    <t>Sheet4</t>
  </si>
  <si>
    <t>主营业务成本_累计</t>
  </si>
  <si>
    <t>[财务费用.xlsx]富平!$E$8:$K$14</t>
  </si>
  <si>
    <t>[6、2019年预算财务费用汇总表.xlsx]富平!$E$8:$K$14</t>
  </si>
  <si>
    <t>C:\Users\Administrator\Desktop\中瑞岳华-田坤\提供\甘肃省电力公司金昌供电公司.xls</t>
  </si>
  <si>
    <t>甘肃省电力公司金昌供电公司.xls</t>
  </si>
  <si>
    <t>2019尧柏特种水泥集团有限公司_6-4制造费用</t>
  </si>
  <si>
    <t>集团</t>
  </si>
  <si>
    <t>E:\中瑞诚\项目\天水农网审计\地市部分\12、18270200082009年高耗能淘汰型变压器更换工程\x5、2009年高耗能淘汰型变压器更换工程竣工决算报告.xls</t>
  </si>
  <si>
    <t>Sheet5</t>
  </si>
  <si>
    <t>其他业务成本_累计</t>
  </si>
  <si>
    <t>[财务费用.xlsx]光信（伊犁）!$E$8:$K$14</t>
  </si>
  <si>
    <t>[6、2019年预算财务费用汇总表.xlsx]光信（伊犁）!$E$8:$K$14</t>
  </si>
  <si>
    <t>C:\Users\Administrator\Desktop\中瑞岳华-田坤\提供\甘肃省电力公司酒泉超高压输变电公司.xls</t>
  </si>
  <si>
    <t>甘肃省电力公司酒泉超高压输变电公司.xls</t>
  </si>
  <si>
    <t>2019贵州麟山水泥有限责任公司_6-4制造费用</t>
  </si>
  <si>
    <t>花溪</t>
  </si>
  <si>
    <t>E:\中瑞诚\项目\天水农网审计\地市部分\13、1827021000062009年瀛池路跨越路面土建工程\x5、2009年瀛池路跨越路面土建工程竣工决算报告.xls</t>
  </si>
  <si>
    <t>税金及附加_累计</t>
  </si>
  <si>
    <t>5590其他流动负债通用表格</t>
  </si>
  <si>
    <t>[财务费用.xlsx]韩城!$E$8:$K$14</t>
  </si>
  <si>
    <t>[6、2019年预算财务费用汇总表.xlsx]韩城!$E$8:$K$14</t>
  </si>
  <si>
    <t>C:\Users\Administrator\Desktop\中瑞岳华-田坤\提供\甘肃省电力公司酒泉供电公司.xls</t>
  </si>
  <si>
    <t>甘肃省电力公司酒泉供电公司.xls</t>
  </si>
  <si>
    <t>2019西安市尧柏物资有限公司_6-4制造费用</t>
  </si>
  <si>
    <t>物资</t>
  </si>
  <si>
    <t>E:\中瑞诚\项目\天水农网审计\地市部分\14、1827020010北变120线路改造工程\x5、北变120线路改造工程竣工决算报告.xls</t>
  </si>
  <si>
    <t>销售费用_累计</t>
  </si>
  <si>
    <t>[财务费用.xlsx]和田!$E$8:$K$14</t>
  </si>
  <si>
    <t>[6、2019年预算财务费用汇总表.xlsx]和田!$E$8:$K$14</t>
  </si>
  <si>
    <t>C:\Users\Administrator\Desktop\中瑞岳华-田坤\提供\甘肃省电力公司兰州超高压输变电公司.xls</t>
  </si>
  <si>
    <t>甘肃省电力公司兰州超高压输变电公司.xls</t>
  </si>
  <si>
    <t>2019西安市尧柏宏艺水泥外加剂有限公司_6-4制造费用</t>
  </si>
  <si>
    <t>宏艺</t>
  </si>
  <si>
    <t>E:\中瑞诚\项目\天水农网审计\地市部分\15、1827020011秦西纬三路石变114改线工程\x5、秦西纬三路石变114改线工程竣工决算报告.xls</t>
  </si>
  <si>
    <t>管理费用_累计</t>
  </si>
  <si>
    <t>[财务费用.xlsx]宏艺!$E$8:$K$14</t>
  </si>
  <si>
    <t>[6、2019年预算财务费用汇总表.xlsx]宏艺!$E$8:$K$14</t>
  </si>
  <si>
    <t>C:\Users\Administrator\Desktop\中瑞岳华-田坤\提供\甘肃省电力公司兰州供电公司.xls</t>
  </si>
  <si>
    <t>甘肃省电力公司兰州供电公司.xls</t>
  </si>
  <si>
    <t>2019西安中港智慧物流有限公司_6-4制造费用</t>
  </si>
  <si>
    <t>物流</t>
  </si>
  <si>
    <t>E:\中瑞诚\项目\天水农网审计\地市部分\17、1827020013秦安县城兴国变121解放路后段线路改造工程\x5、秦安县城兴国变121解放路后段线路改造工程竣工决算报告.xls</t>
  </si>
  <si>
    <t>财务费用_累计</t>
  </si>
  <si>
    <t>[财务费用.xlsx]花溪!$E$8:$K$14</t>
  </si>
  <si>
    <t>[6、2019年预算财务费用汇总表.xlsx]花溪!$E$8:$K$14</t>
  </si>
  <si>
    <t>C:\Users\Administrator\Desktop\中瑞岳华-田坤\提供\甘肃省电力公司刘家峡水电厂.xls</t>
  </si>
  <si>
    <t>甘肃省电力公司刘家峡水电厂.xls</t>
  </si>
  <si>
    <t>2019西安柏通建筑安装工程有限公司_6-4制造费用</t>
  </si>
  <si>
    <t>建安</t>
  </si>
  <si>
    <t>E:\中瑞诚\项目\天水农网审计\地市部分\18、1827020014兴变112、113滨河路10千伏线路工程\x5、兴变112、113滨河路10千伏线路工程竣工决算报告.xls</t>
  </si>
  <si>
    <t>财务费用_利息支出_累计</t>
  </si>
  <si>
    <t>[财务费用.xlsx]集诚!$E$8:$K$14</t>
  </si>
  <si>
    <t>[6、2019年预算财务费用汇总表.xlsx]集诚!$E$8:$K$14</t>
  </si>
  <si>
    <t>C:\Users\Administrator\Desktop\中瑞岳华-田坤\提供\甘肃省电力公司陇南供电公司.xls</t>
  </si>
  <si>
    <t>甘肃省电力公司陇南供电公司.xls</t>
  </si>
  <si>
    <t>2019西安新柏商业运营管理有限公司_6-4制造费用</t>
  </si>
  <si>
    <t>新柏</t>
  </si>
  <si>
    <t>E:\中瑞诚\项目\天水农网审计\地市部分\19、1827020015武变117线路工程\x5、武变117线路工程竣工决算报告.xls</t>
  </si>
  <si>
    <t>财务费用_利息收入_累计</t>
  </si>
  <si>
    <t>[财务费用.xlsx]集团!$E$8:$K$14</t>
  </si>
  <si>
    <t>[6、2019年预算财务费用汇总表.xlsx]集团!$E$8:$K$14</t>
  </si>
  <si>
    <t>C:\Users\Administrator\Desktop\中瑞岳华-田坤\提供\甘肃省电力公司平凉供电公司.xls</t>
  </si>
  <si>
    <t>甘肃省电力公司平凉供电公司.xls</t>
  </si>
  <si>
    <t>2019光信国际融资租赁有限公司_6-4制造费用</t>
  </si>
  <si>
    <t>光信</t>
  </si>
  <si>
    <t>E:\中瑞诚\项目\天水农网审计\地市部分\20、1827020016社变114社堂街分支高低压线路改造工程\x5、社变114社堂街分支高低压线路改造工程竣工决算报告.xls</t>
  </si>
  <si>
    <t>财务费用_汇兑损益_累计</t>
  </si>
  <si>
    <t>[财务费用.xlsx]建安!$E$8:$K$14</t>
  </si>
  <si>
    <t>[6、2019年预算财务费用汇总表.xlsx]建安!$E$8:$K$14</t>
  </si>
  <si>
    <t>C:\Users\Administrator\Desktop\中瑞岳华-田坤\提供\甘肃省电力公司庆阳供电公司.xls</t>
  </si>
  <si>
    <t>甘肃省电力公司庆阳供电公司.xls</t>
  </si>
  <si>
    <t>2019陕西建达信工程检测有限公司_6-4制造费用</t>
  </si>
  <si>
    <t>建达信</t>
  </si>
  <si>
    <t>E:\中瑞诚\项目\天水农网审计\地市部分\21、182702100019百万以上业扩工程\x5、百万以上业扩工程竣工决算报告.xls</t>
  </si>
  <si>
    <t>财务费用_手续费_累计</t>
  </si>
  <si>
    <t>[财务费用.xlsx]建达信!$E$8:$K$14</t>
  </si>
  <si>
    <t>[6、2019年预算财务费用汇总表.xlsx]建达信!$E$8:$K$14</t>
  </si>
  <si>
    <t>C:\Users\Administrator\Desktop\中瑞岳华-田坤\提供\甘肃省电力公司天水超高压输变电公司.xls</t>
  </si>
  <si>
    <t>甘肃省电力公司天水超高压输变电公司.xls</t>
  </si>
  <si>
    <t>2019陕西富达矿山工程有限公司_6-4制造费用</t>
  </si>
  <si>
    <t>富达</t>
  </si>
  <si>
    <t>E:\中瑞诚\项目\天水农网审计\地市部分\22、1727020001内外网隔离系统工程\x5、内外网隔离系统工程竣工决算报告.xls</t>
  </si>
  <si>
    <t>资产减值损失_累计</t>
  </si>
  <si>
    <t>[财务费用.xlsx]江华!$E$8:$K$14</t>
  </si>
  <si>
    <t>[6、2019年预算财务费用汇总表.xlsx]江华!$E$8:$K$14</t>
  </si>
  <si>
    <t>C:\Users\Administrator\Desktop\中瑞岳华-田坤\提供\甘肃省电力公司天水供电公司.xls</t>
  </si>
  <si>
    <t>甘肃省电力公司天水供电公司.xls</t>
  </si>
  <si>
    <t>2019陕西富达矿山工程有限公司蒲城分公司_6-4制造费用</t>
  </si>
  <si>
    <t>无-3</t>
  </si>
  <si>
    <t>E:\中瑞诚\项目\天水农网审计\地市部分\23、182702100012瀛池路10千伏线路工程\x5、瀛池路10千伏线路工程竣工决算报告.xls</t>
  </si>
  <si>
    <t>公允价值变动收益_累计</t>
  </si>
  <si>
    <t>[财务费用.xlsx]蓝田!$E$8:$K$14</t>
  </si>
  <si>
    <t>[6、2019年预算财务费用汇总表.xlsx]蓝田!$E$8:$K$14</t>
  </si>
  <si>
    <t>C:\Users\Administrator\Desktop\中瑞岳华-田坤\提供\甘肃省电力公司武威供电公司.xls</t>
  </si>
  <si>
    <t>甘肃省电力公司武威供电公司.xls</t>
  </si>
  <si>
    <t>2019陕西富达矿山工程有限公司丹凤分公司_6-4制造费用</t>
  </si>
  <si>
    <t>无-4</t>
  </si>
  <si>
    <t>E:\中瑞诚\项目\天水农网审计\地市部分\24、182702100011配网柱上油开关更换工程\x5、配网柱上油开关更换工程竣工决算报告.xls</t>
  </si>
  <si>
    <t>投资收益_累计</t>
  </si>
  <si>
    <t>[财务费用.xlsx]鲁新!$E$8:$K$14</t>
  </si>
  <si>
    <t>[6、2019年预算财务费用汇总表.xlsx]鲁新!$E$8:$K$14</t>
  </si>
  <si>
    <t>C:\Users\Administrator\Desktop\中瑞岳华-田坤\提供\甘肃省电力公司信息通信中心.xls</t>
  </si>
  <si>
    <t>甘肃省电力公司信息通信中心.xls</t>
  </si>
  <si>
    <t>2019陕西富达矿山工程有限公司镇安分公司_6-4制造费用</t>
  </si>
  <si>
    <t>无-5</t>
  </si>
  <si>
    <t>E:\中瑞诚\项目\天水农网审计\地市部分\25、182702100010高耗能淘汰型变压器更换工程\x5、高耗能淘汰型变压器更换工程竣工决算报告.xls</t>
  </si>
  <si>
    <t>对联营企业的投资收益_累计</t>
  </si>
  <si>
    <t>[财务费用.xlsx]鲁新矿山!$E$8:$K$14</t>
  </si>
  <si>
    <t>[6、2019年预算财务费用汇总表.xlsx]鲁新矿山!$E$8:$K$14</t>
  </si>
  <si>
    <t>C:\Users\Administrator\Desktop\中瑞岳华-田坤\提供\甘肃省电力公司张掖供电公司.xls</t>
  </si>
  <si>
    <t>甘肃省电力公司张掖供电公司.xls</t>
  </si>
  <si>
    <t>2019陕西富达矿山工程有限公司勉县分公司_6-4制造费用</t>
  </si>
  <si>
    <t>无-6</t>
  </si>
  <si>
    <t>E:\中瑞诚\项目\天水农网审计\地市部分\26、182702100013秦州区籍河南路西部10KV双电源供电工程\x5、秦州区籍河南路西部10KV双电源供电工程竣工决算报告.xls</t>
  </si>
  <si>
    <t>营业利润_累计</t>
  </si>
  <si>
    <t>[财务费用.xlsx]洛南!$E$8:$K$14</t>
  </si>
  <si>
    <t>[6、2019年预算财务费用汇总表.xlsx]洛南!$E$8:$K$14</t>
  </si>
  <si>
    <t>2019陕西富达矿山工程有限公司洛南分公司_6-4制造费用</t>
  </si>
  <si>
    <t>无-7</t>
  </si>
  <si>
    <t>E:\中瑞诚\项目\天水农网审计\地市部分\27、182702100032天水市秦州区岷山路电缆管敷设工程\x5、天水市秦州区岷山路电缆管敷设工程竣工决算报告.xls</t>
  </si>
  <si>
    <t>营业外收入_累计</t>
  </si>
  <si>
    <t>[财务费用.xlsx]勉县!$E$8:$K$14</t>
  </si>
  <si>
    <t>[6、2019年预算财务费用汇总表.xlsx]勉县!$E$8:$K$14</t>
  </si>
  <si>
    <t>2019陕西富达矿山工程有限公司西乡分公司_6-4制造费用</t>
  </si>
  <si>
    <t>无-8</t>
  </si>
  <si>
    <t>E:\中瑞诚\项目\天水农网审计\地市部分\28、182702100014武变114线路改造工程\x5、武变114线路改造工程竣工决算报告.xls</t>
  </si>
  <si>
    <t>营业外收入_增值税退税_累计</t>
  </si>
  <si>
    <t>[财务费用.xlsx]蒲城!$E$8:$K$14</t>
  </si>
  <si>
    <t>[6、2019年预算财务费用汇总表.xlsx]蒲城!$E$8:$K$14</t>
  </si>
  <si>
    <t>2019光信（伊犁）融资租赁有限公司_6-4制造费用</t>
  </si>
  <si>
    <t>光信（伊犁）</t>
  </si>
  <si>
    <t>E:\中瑞诚\项目\天水农网审计\地市部分\29、182702100015寨变115线路改造工程\x5、寨变115线路改造工程竣工决算报告.xls</t>
  </si>
  <si>
    <t>营业外支出_累计</t>
  </si>
  <si>
    <t>[财务费用.xlsx]光信!$E$8:$K$14</t>
  </si>
  <si>
    <t>[6、2019年预算财务费用汇总表.xlsx]光信!$E$8:$K$14</t>
  </si>
  <si>
    <t>2019西安柏云智能数据技术有限公司_6-4制造费用</t>
  </si>
  <si>
    <t>柏云</t>
  </si>
  <si>
    <t>E:\中瑞诚\项目\天水农网审计\地市部分\30、182702100016寨变116线路改造工程\x5、寨变116线路改造工程竣工决算报告.xls</t>
  </si>
  <si>
    <t>营业外支出_捐赠支出_累计</t>
  </si>
  <si>
    <t>[财务费用.xlsx]实丰!$E$8:$K$14</t>
  </si>
  <si>
    <t>[6、2019年预算财务费用汇总表.xlsx]实丰!$E$8:$K$14</t>
  </si>
  <si>
    <t>2019尧柏特种水泥技术研发有限公司_6-4制造费用</t>
  </si>
  <si>
    <t>研发</t>
  </si>
  <si>
    <t>E:\中瑞诚\项目\天水农网审计\地市部分\31、182702110004112映南路线延伸工程\x5、112映南路线延伸工程竣工决算报告.xls</t>
  </si>
  <si>
    <t>利润总额_累计</t>
  </si>
  <si>
    <t>[财务费用.xlsx]渭南尧柏!$E$8:$K$14</t>
  </si>
  <si>
    <t>[6、2019年预算财务费用汇总表.xlsx]渭南尧柏!$E$8:$K$14</t>
  </si>
  <si>
    <t>2019陕西尧柏新材料科技有限公司_6-4制造费用</t>
  </si>
  <si>
    <t>新材</t>
  </si>
  <si>
    <t>E:\中瑞诚\项目\天水农网审计\地市部分\32、182702110005麦积区甘泉街高低压线路改造工程\x5、麦积区甘泉街高低压线路改造工程竣工决算报告.xls</t>
  </si>
  <si>
    <t>所得税费用_累计</t>
  </si>
  <si>
    <t>[财务费用.xlsx]物流!$E$8:$K$14</t>
  </si>
  <si>
    <t>[6、2019年预算财务费用汇总表.xlsx]物流!$E$8:$K$14</t>
  </si>
  <si>
    <t>2019韩城尧柏阳山庄水泥有限公司_6-4制造费用</t>
  </si>
  <si>
    <t>韩城</t>
  </si>
  <si>
    <t>E:\中瑞诚\项目\天水农网审计\地市部分\33、18270211000610千伏伯阳线及其分支线改造工程\x5、10千伏伯阳线及其分支线改造工程竣工决算报告.xls</t>
  </si>
  <si>
    <t>净利润_累计</t>
  </si>
  <si>
    <t>[财务费用.xlsx]物资!$E$8:$K$14</t>
  </si>
  <si>
    <t>[6、2019年预算财务费用汇总表.xlsx]物资!$E$8:$K$14</t>
  </si>
  <si>
    <t>2019陕西实丰水泥股份有限公司_6-4制造费用</t>
  </si>
  <si>
    <t>实丰</t>
  </si>
  <si>
    <t>E:\中瑞诚\项目\天水农网审计\地市部分\34、182702110007新建玉泉变出线工程\x5、新建玉泉变出线工程竣工决算报告.xls</t>
  </si>
  <si>
    <t>[财务费用.xlsx]西乡!$E$8:$K$14</t>
  </si>
  <si>
    <t>[6、2019年预算财务费用汇总表.xlsx]西乡!$E$8:$K$14</t>
  </si>
  <si>
    <t>2019陕西富平水泥有限公司_6-4制造费用</t>
  </si>
  <si>
    <t>富平</t>
  </si>
  <si>
    <t>E:\中瑞诚\项目\天水农网审计\地市部分\35、182702110008武变114线路分支改造工程\x5、武变114线路分支改造工程竣工决算报告.xls</t>
  </si>
  <si>
    <t>[财务费用.xlsx]新柏!$E$8:$K$14</t>
  </si>
  <si>
    <t>[6、2019年预算财务费用汇总表.xlsx]新柏!$E$8:$K$14</t>
  </si>
  <si>
    <t>2019铜川药王山生态水泥有限公司_6-4制造费用</t>
  </si>
  <si>
    <t>药王山</t>
  </si>
  <si>
    <t>E:\中瑞诚\项目\天水农网审计\地市部分\36、182702110009冀变113改造工程\x5、冀变113改造工程竣工决算报告.xls</t>
  </si>
  <si>
    <t>[财务费用.xlsx]新材!$E$8:$K$14</t>
  </si>
  <si>
    <t>[6、2019年预算财务费用汇总表.xlsx]新材!$E$8:$K$14</t>
  </si>
  <si>
    <t>2019铜川市杨泉山矿业有限责任公司_6-4制造费用</t>
  </si>
  <si>
    <t>杨泉山</t>
  </si>
  <si>
    <t>E:\中瑞诚\项目\天水农网审计\地市部分\37、182702110010柱上油断路器更换工程\x5、柱上油断路器更换工程竣工决算报告.xls</t>
  </si>
  <si>
    <t>[财务费用.xlsx]旬阳!$E$8:$K$14</t>
  </si>
  <si>
    <t>[6、2019年预算财务费用汇总表.xlsx]旬阳!$E$8:$K$14</t>
  </si>
  <si>
    <t>2019渭南蒲城尧柏水泥有限公司_6-4制造费用</t>
  </si>
  <si>
    <t>渭南尧柏</t>
  </si>
  <si>
    <t>E:\中瑞诚\项目\天水农网审计\地市部分\39、182702110012改造石变114窝驼、七变123南郭寺、125高家湾、126新华门线工程\x5、改造石变114窝驼、七变123南郭寺、125高家湾、126新华门线工程竣工决算报告.xls</t>
  </si>
  <si>
    <t>[财务费用.xlsx]研发!$E$8:$K$14</t>
  </si>
  <si>
    <t>[6、2019年预算财务费用汇总表.xlsx]研发!$E$8:$K$14</t>
  </si>
  <si>
    <t>2019蒲城尧柏特种水泥有限公司_6-4制造费用</t>
  </si>
  <si>
    <t>蒲城</t>
  </si>
  <si>
    <t>E:\中瑞诚\项目\天水农网审计\地市部分\4、1827020020石马坪调度楼配电系统改造工程\x5、石马坪调度楼配电系统改造工程竣工决算报告.xls</t>
  </si>
  <si>
    <t>[财务费用.xlsx]杨泉山!$E$8:$K$14</t>
  </si>
  <si>
    <t>[6、2019年预算财务费用汇总表.xlsx]杨泉山!$E$8:$K$14</t>
  </si>
  <si>
    <t>2019西安蓝田尧柏水泥有限公司_6-4制造费用</t>
  </si>
  <si>
    <t>蓝田</t>
  </si>
  <si>
    <t>E:\中瑞诚\项目\天水农网审计\地市部分\40、182702110013石变10千伏114线路改造工程\x5、石变10千伏114线路改造工程竣工决算报告.xls</t>
  </si>
  <si>
    <t>[财务费用.xlsx]洋县!$E$8:$K$14</t>
  </si>
  <si>
    <t>[6、2019年预算财务费用汇总表.xlsx]洋县!$E$8:$K$14</t>
  </si>
  <si>
    <t>2019商洛尧柏龙桥水泥有限公司_6-4制造费用</t>
  </si>
  <si>
    <t>丹凤</t>
  </si>
  <si>
    <t>E:\中瑞诚\项目\天水农网审计\地市部分\41、182702110014屈家坪村10千伏高压线路改造工程\x5、屈家坪村10千伏高压线路改造工程竣工决算报告.xls</t>
  </si>
  <si>
    <t>[财务费用.xlsx]药王山!$E$8:$K$14</t>
  </si>
  <si>
    <t>[6、2019年预算财务费用汇总表.xlsx]药王山!$E$8:$K$14</t>
  </si>
  <si>
    <t>2019商洛尧柏龙桥水泥有限公司留仙坪分厂_6-4制造费用</t>
  </si>
  <si>
    <t>留仙坪</t>
  </si>
  <si>
    <t>E:\中瑞诚\项目\天水农网审计\地市部分\42、182702110015北变120云雾分支10千伏线路改造工程\x5、北变120云雾分支10千伏线路改造工程竣工决算报告.xls</t>
  </si>
  <si>
    <t>[财务费用.xlsx]伊宁!$E$8:$K$14</t>
  </si>
  <si>
    <t>[6、2019年预算财务费用汇总表.xlsx]伊宁!$E$8:$K$14</t>
  </si>
  <si>
    <t>2019商洛尧柏龙桥水泥有限公司粉磨分公司_6-4制造费用</t>
  </si>
  <si>
    <t>粉磨</t>
  </si>
  <si>
    <t>E:\中瑞诚\项目\天水农网审计\地市部分\43、182702110016东泉村高低压线路改造工程\x5、东泉村高低压线路改造工程竣工决算报告.xls</t>
  </si>
  <si>
    <t>[财务费用.xlsx]伊宁矿山!$E$8:$K$14</t>
  </si>
  <si>
    <t>[6、2019年预算财务费用汇总表.xlsx]伊宁矿山!$E$8:$K$14</t>
  </si>
  <si>
    <t>2019商洛尧柏龙桥水泥有限公司洛南分公司_6-4制造费用</t>
  </si>
  <si>
    <t>洛南</t>
  </si>
  <si>
    <t>E:\中瑞诚\项目\天水农网审计\地市部分\44、182702120002星火变10千伏星七线一杆2回线路工程\x5、星火变10千伏星七线一杆2回线路工程竣工决算报告.xls</t>
  </si>
  <si>
    <t>[财务费用.xlsx]泽西!$E$8:$K$14</t>
  </si>
  <si>
    <t>[6、2019年预算财务费用汇总表.xlsx]泽西!$E$8:$K$14</t>
  </si>
  <si>
    <t>2019商洛尧柏秀山水泥有限公司_6-4制造费用</t>
  </si>
  <si>
    <t>镇安</t>
  </si>
  <si>
    <t>E:\中瑞诚\项目\天水农网审计\地市部分\45、182702120003星火变10千伏星五线一杆2回线路工程\x5、星火变10千伏星五线一杆2回线路工程竣工决算报告.xls</t>
  </si>
  <si>
    <t>[财务费用.xlsx]镇安!$E$8:$K$14</t>
  </si>
  <si>
    <t>[6、2019年预算财务费用汇总表.xlsx]镇安!$E$8:$K$14</t>
  </si>
  <si>
    <t>2019安康市尧柏水泥有限公司_6-4制造费用</t>
  </si>
  <si>
    <t>旬阳</t>
  </si>
  <si>
    <t>E:\中瑞诚\项目\天水农网审计\地市部分\46、182702120007武变117南滨河路新建线路工程\x5、武变117南滨河路新建线路工程竣工决算报告.xls</t>
  </si>
  <si>
    <t>[财务费用.xlsx]留仙坪!$E$8:$K$14</t>
  </si>
  <si>
    <t>[6、2019年预算财务费用汇总表.xlsx]留仙坪!$E$8:$K$14</t>
  </si>
  <si>
    <t>2019安康尧柏江华水泥有限公司_6-4制造费用</t>
  </si>
  <si>
    <t>江华</t>
  </si>
  <si>
    <t>E:\中瑞诚\项目\天水农网审计\地市部分\5、1827020019三十里铺高低压柜改造工程\x5、三十里铺高低压柜改造工程竣工决算报告.xls</t>
  </si>
  <si>
    <t>2019汉中尧柏水泥有限公司_6-4制造费用</t>
  </si>
  <si>
    <t>洋县</t>
  </si>
  <si>
    <t>E:\中瑞诚\项目\天水农网审计\地市部分\6、1827020018麦积办公区高压柜改造工程\x5、麦积办公区高压柜改造工程竣工决算报告.xls</t>
  </si>
  <si>
    <t>2019汉中勉县尧柏水泥有限公司_6-4制造费用</t>
  </si>
  <si>
    <t>勉县</t>
  </si>
  <si>
    <t>E:\中瑞诚\项目\天水农网审计\地市部分\7、1827020002水厂双电源线路工程\x5、水厂双电源线路工程竣工决算报告.xls</t>
  </si>
  <si>
    <t>2019汉中西乡尧柏水泥有限公司_6-4制造费用</t>
  </si>
  <si>
    <t>西乡</t>
  </si>
  <si>
    <t>E:\中瑞诚\项目\天水农网审计\地市部分\8、1827020003秦安县人民政府综合办公楼线路工程\x5、秦安县人民政府综合办公楼线路工程竣工决算报告.xls</t>
  </si>
  <si>
    <t>2019和田尧柏水泥有限公司_6-4制造费用</t>
  </si>
  <si>
    <t>和田</t>
  </si>
  <si>
    <t>E:\中瑞诚\项目\天水农网审计\地市部分\9、1827020004天水市市委备用电源改造工程\x5、天水市市委备用电源改造工程竣工决算报告.xls</t>
  </si>
  <si>
    <t>2019和田鲁新建材有限公司_6-4制造费用</t>
  </si>
  <si>
    <t>鲁新</t>
  </si>
  <si>
    <t>E:\中瑞诚\项目\天水农网审计\地市部分\16、1827020012甘谷县滨河南路线路工程\x5、甘谷县滨河南路线路工程竣工决算报告.xls</t>
  </si>
  <si>
    <t>2019和田鲁新建材有限公司墨玉县大干渠木塔里甫.阿不都巴克石</t>
  </si>
  <si>
    <t>鲁新矿山</t>
  </si>
  <si>
    <t>2019伊犁尧柏水泥有限公司_6-4制造费用</t>
  </si>
  <si>
    <t>伊宁</t>
  </si>
  <si>
    <t>2019霍城县南岗西鑫矿业有限责任公司_6-4制造费用</t>
  </si>
  <si>
    <t>伊宁矿山</t>
  </si>
  <si>
    <t>2019陕西尧柏新型墙材有限公司_6-4制造费用</t>
  </si>
  <si>
    <t>无-墙材</t>
  </si>
  <si>
    <t>[财务费用.xlsx</t>
  </si>
  <si>
    <t>D:\202008WIH\2、报表\XXXXXX</t>
  </si>
  <si>
    <t>1、2021年04月合并报表</t>
  </si>
  <si>
    <t>2、2021年04月报表说明及底稿</t>
  </si>
  <si>
    <t>3、2021年04月收支明细表</t>
  </si>
  <si>
    <t>4、2021年04月资金计划</t>
  </si>
  <si>
    <t>5、2021年04月借款台账</t>
  </si>
  <si>
    <t>6、2021年04月组织架构图</t>
  </si>
  <si>
    <t>7、2021年04月新成立公司资料</t>
  </si>
  <si>
    <t>8、2021年04月各公司报表</t>
  </si>
  <si>
    <t>A沣西教育（马王）</t>
  </si>
  <si>
    <t>A马王双桥村</t>
  </si>
  <si>
    <t>A马王大原村</t>
  </si>
  <si>
    <t>A马王客省庄村</t>
  </si>
  <si>
    <t>A马王新庄村</t>
  </si>
  <si>
    <t>A马王新旺村</t>
  </si>
  <si>
    <t>A马王新泥河村</t>
  </si>
  <si>
    <t>A马王村</t>
  </si>
  <si>
    <t>A马王沙河村</t>
  </si>
  <si>
    <t>A马王沣京中路社区</t>
  </si>
  <si>
    <t>马王村</t>
  </si>
  <si>
    <t>Result 1</t>
  </si>
  <si>
    <t>SLN本格拉公司_1QYBB01_西部水泥报表202207.xls</t>
  </si>
  <si>
    <t>刚果布红星玻璃有限责任公司_1QYBB01_西部水泥报表202207.xls</t>
  </si>
  <si>
    <t>刚果金安居贸易有限公司_1QYBB01_西部水泥报表202207.xls</t>
  </si>
  <si>
    <t>吉扎克西部特种水泥有限责任公司_1QYBB01_西部水泥报表202207.xls</t>
  </si>
  <si>
    <t>塔什干安家水泥制品有限公司_1QYBB01_西部水泥报表202207.xls</t>
  </si>
  <si>
    <t>塔什干西部控股水泥有限责任公司_1QYBB01_西部水泥报表202207.xls</t>
  </si>
  <si>
    <t>大湖水泥卡塔纳简易股份有限公司_1QYBB01_西部水泥报表202207.xls</t>
  </si>
  <si>
    <t>大湖水泥简易股份有限公司_1QYBB01_西部水泥报表202207.xls</t>
  </si>
  <si>
    <t>安家建筑（莫桑比克）有限公司_1QYBB01_西部水泥报表202207.xls</t>
  </si>
  <si>
    <t>安家控股有限公司_1QYBB01_西部水泥报表202207.xls</t>
  </si>
  <si>
    <t>安家装配式建筑（刚果金）有限公司_1QYBB01_西部水泥报表202207.xls</t>
  </si>
  <si>
    <t>安家装配式建筑（南非）有限公司_1QYBB01_西部水泥报表202207.xls</t>
  </si>
  <si>
    <t>安家装配式建筑（卢旺达）有限公司_1QYBB01_西部水泥报表202207.xls</t>
  </si>
  <si>
    <t>安家装配式建筑（坦桑尼亚）有限公司_1QYBB01_西部水泥报表202207.xls</t>
  </si>
  <si>
    <t>安家装配式建筑（尼日利亚）有限公司_1QYBB01_西部水泥报表202207.xls</t>
  </si>
  <si>
    <t>安科共创技术有限公司_1QYBB01_西部水泥报表202207.xls</t>
  </si>
  <si>
    <t>安达物流莫桑比克有限公司_1QYBB01_西部水泥报表202207.xls</t>
  </si>
  <si>
    <t>安集延西部控股水泥有限公司_1QYBB01_西部水泥报表202207.xls</t>
  </si>
  <si>
    <t>硕海（西安）国际贸易有限公司_1QYBB01_西部水泥报表202207.xls</t>
  </si>
  <si>
    <t>莫桑比克海牛水泥股份有限公司_1QYBB01_西部水泥报表202207.xls</t>
  </si>
  <si>
    <t>西部国际控股有限公司_1QYBB01_西部水泥报表202207.xls</t>
  </si>
  <si>
    <t>西部国际控股非洲有限公司_1QYBB01_西部水泥报表202207.xls</t>
  </si>
  <si>
    <t>西部国际新建筑材料有限公司_1QYBB01_西部水泥报表202207.xls</t>
  </si>
  <si>
    <t>西部国际材料有限公司_1QYBB01_西部水泥报表202207.xls</t>
  </si>
  <si>
    <t>西部国际物流控股有限公司_1QYBB01_西部水泥报表202207.xls</t>
  </si>
  <si>
    <t>费尔干纳西部国际水泥有限责任公司_1QYBB01_西部水泥报表202207.xls</t>
  </si>
  <si>
    <t>马卡拉煤炭简易股份有限公司_1QYBB01_西部水泥报表202207.xls</t>
  </si>
  <si>
    <t>原文件夹名</t>
  </si>
  <si>
    <t>新文件夹名</t>
  </si>
  <si>
    <t>新文件名</t>
  </si>
  <si>
    <t>D:\202007WIH\2.Financial Statement\202207\西控2022年07月完整版报表\8、2022年07月各公司报表\NC报表2207</t>
  </si>
  <si>
    <t>Official supplies&amp; stationery</t>
  </si>
  <si>
    <t>Cash at CBE1000435355319</t>
  </si>
  <si>
    <t>Cash at BankCBE1000390249946</t>
  </si>
  <si>
    <t>Fuel Vehicles</t>
  </si>
  <si>
    <t>Epidemic Prevention Expense</t>
  </si>
  <si>
    <t>Staff Debtors Chen Libin</t>
  </si>
  <si>
    <t>Staff Debitors Israel Debebe</t>
  </si>
  <si>
    <t>Others</t>
  </si>
  <si>
    <t>Inland transit insurance</t>
  </si>
  <si>
    <t>In Put VAT Receivable</t>
  </si>
  <si>
    <t>Building</t>
  </si>
  <si>
    <t>Bricks Factory house</t>
  </si>
  <si>
    <t>Maintenance-Brick Fact</t>
  </si>
  <si>
    <t>Plant and Machinery-Bricks</t>
  </si>
  <si>
    <t>Cash at ABAY 1702117833240019</t>
  </si>
  <si>
    <t>Parking fees</t>
  </si>
  <si>
    <t>Staff Debitors Betelehem Tsega</t>
  </si>
  <si>
    <t>Employees canteen Cost</t>
  </si>
  <si>
    <t>Staff Debtors LI JING</t>
  </si>
  <si>
    <t>Staff Debitors-Ren Shuaijie</t>
  </si>
  <si>
    <t>Tax Payables Withholding Tax</t>
  </si>
  <si>
    <t>Cement Site Leveling&amp;Interroad</t>
  </si>
  <si>
    <t>Sundray Debtors-Sinoma interna</t>
  </si>
  <si>
    <t>Special Equipment</t>
  </si>
  <si>
    <t>Vehicles tyre expense</t>
  </si>
  <si>
    <t>Staff Debtors Getachew Bekele</t>
  </si>
  <si>
    <t>Oil and Lubricants cost</t>
  </si>
  <si>
    <t>Publicity fees</t>
  </si>
  <si>
    <t>Travel expenses</t>
  </si>
  <si>
    <t>Staff Debitors- He Lei</t>
  </si>
  <si>
    <t>Sundray Debtors-Ethiopian Airl</t>
  </si>
  <si>
    <t>Sundray Debtors-BES MINING PLC</t>
  </si>
  <si>
    <t>Staff Debitors-GOU WEIDONG</t>
  </si>
  <si>
    <t>Related Company-RED FOX-ETB</t>
  </si>
  <si>
    <t>Staff Debitors-Aragawi H/Maria</t>
  </si>
  <si>
    <t>Staff Debtors Abinet Atinafu</t>
  </si>
  <si>
    <t>Related Company-LEMI Gyp-ETB</t>
  </si>
  <si>
    <t>Dormitory Building</t>
  </si>
  <si>
    <t>Sundray Debtors-Mebrat Kemiso</t>
  </si>
  <si>
    <t>Temp. Const. of Office &amp; Livin</t>
  </si>
  <si>
    <t>Trade Creditors-ETB</t>
  </si>
  <si>
    <t>GIT-port handling storage &amp;cle</t>
  </si>
  <si>
    <t>Related Company-NCSC-In kind</t>
  </si>
  <si>
    <t>Acc.Liab.port handling &amp; clea</t>
  </si>
  <si>
    <t>Goods In Transit-Transportatio</t>
  </si>
  <si>
    <t>Acc.Liab.Transport Cost</t>
  </si>
  <si>
    <t>GIT-Cost of Acquiring Plat No</t>
  </si>
  <si>
    <t>Acc.Liab Cost of acquiring Pla</t>
  </si>
  <si>
    <t>Tax Payables Income Tax( Payro</t>
  </si>
  <si>
    <t>Employees Benefit -Pension Con</t>
  </si>
  <si>
    <t>Related Company-NCSC-ETB</t>
  </si>
  <si>
    <t>GIT-CIF Cost of Imported Goods</t>
  </si>
  <si>
    <t>Explosive costs</t>
  </si>
  <si>
    <t>Goods In Transit-Fuel</t>
  </si>
  <si>
    <t>Deposits-ETB-Customs commision</t>
  </si>
  <si>
    <t>Vehicles Maintenance cost</t>
  </si>
  <si>
    <t>Custom duty tax</t>
  </si>
  <si>
    <t>Withholding Tax Receivable</t>
  </si>
  <si>
    <t>Staff Debitors-Liu Tingiting</t>
  </si>
  <si>
    <t>Staff Debitors-Adanech Ashkalo</t>
  </si>
  <si>
    <t>Sociall Welfare</t>
  </si>
  <si>
    <t>Clinker- Machin &amp; Equip Import</t>
  </si>
  <si>
    <t>Raw Materials Cost-bricks Fact</t>
  </si>
  <si>
    <t>Batching Plant Maint &amp; Parts</t>
  </si>
  <si>
    <t>Dashen bank 0002034361011</t>
  </si>
  <si>
    <t>SunDeb Sinoma/Suzhou/ConstrUSD</t>
  </si>
  <si>
    <t>Dev Bank of  Eth USD 510554574</t>
  </si>
  <si>
    <t>Visa fee &amp; work Permit</t>
  </si>
  <si>
    <t>Medical Expense</t>
  </si>
  <si>
    <t>Qualification certificate proc</t>
  </si>
  <si>
    <t>Devt  Bank ETB510568834</t>
  </si>
  <si>
    <t>Staff Debitors-Mahelet Yoseph</t>
  </si>
  <si>
    <t>Hotel  Accomodation</t>
  </si>
  <si>
    <t>Staff Debitors-Song Xiaoxing</t>
  </si>
  <si>
    <t>Staff Debtors Amdework Menberu</t>
  </si>
  <si>
    <t>Communications</t>
  </si>
  <si>
    <t>Related Company-EA Min PLC-ETB</t>
  </si>
  <si>
    <t>Cash at Abyssinia 91684306</t>
  </si>
  <si>
    <t>Staff Debitors-Zenebu Tadess</t>
  </si>
  <si>
    <t>Staff Debitors-Mekdes Mekuria</t>
  </si>
  <si>
    <t>Vehicles</t>
  </si>
  <si>
    <t>Heavy Duty Construct Vehicles</t>
  </si>
  <si>
    <t>Plant and Machinery-Batching P</t>
  </si>
  <si>
    <t>Plant and Machinery-Aggregate</t>
  </si>
  <si>
    <t>Computer Eqt Import</t>
  </si>
  <si>
    <t>Special Equipment-Import</t>
  </si>
  <si>
    <t>Kitchen Equipments</t>
  </si>
  <si>
    <t>Building Materials</t>
  </si>
  <si>
    <t>Spare Parts Vehicles</t>
  </si>
  <si>
    <t>Spare Parts Machinary</t>
  </si>
  <si>
    <t>Daily Necessity Items</t>
  </si>
  <si>
    <t>Tools</t>
  </si>
  <si>
    <t>Staff Debitors-Birtukan Bekele</t>
  </si>
  <si>
    <t>Related Company-WIHAC-USD</t>
  </si>
  <si>
    <t>Related Company-WIH-USD</t>
  </si>
  <si>
    <t>Exchange gains and losses</t>
  </si>
  <si>
    <t>Staff Debitors-Guo Ruoyu</t>
  </si>
  <si>
    <t>Staff Debitors-Eneyew Mokonen</t>
  </si>
  <si>
    <t>Staff Debitors-Luo Baolong</t>
  </si>
  <si>
    <t>Stock -Materials-Ag. stone</t>
  </si>
  <si>
    <t>Stock -Materials-PPC cement</t>
  </si>
  <si>
    <t>Stock -Materials-Pumice</t>
  </si>
  <si>
    <t>Stock -Materials-OPC cement</t>
  </si>
  <si>
    <t>Fuel Cost-Batching Plant</t>
  </si>
  <si>
    <t>Stock -Gas Oil</t>
  </si>
  <si>
    <t>Fuel Lemi Construc Vehicles</t>
  </si>
  <si>
    <t>Stock -Materials-Sand</t>
  </si>
  <si>
    <t>Fuel Lemi Project site Vehicle</t>
  </si>
  <si>
    <t>Raw Materials -Batching Plant</t>
  </si>
  <si>
    <t>C:\Users\WIH_A\Desktop\Todo\利润预测202302\2月利润预测表-刚果金安家公司2023-2-20.xlsx</t>
  </si>
  <si>
    <t>C:\Users\WIH_A\Desktop\Todo\利润预测202302\2月利润预测表-卡塔纳粉磨站2023-2-20.xlsx</t>
  </si>
  <si>
    <t>C:\Users\WIH_A\Desktop\Todo\利润预测202302\2月利润预测表-国家水泥 2023-02-20.xlsx</t>
  </si>
  <si>
    <t>C:\Users\WIH_A\Desktop\Todo\利润预测202302\2月利润预测表-塔什干安家公司2023-2-16.xlsx</t>
  </si>
  <si>
    <t>C:\Users\WIH_A\Desktop\Todo\利润预测202302\2月利润预测表-安哥拉公司2023-2-20.xlsx</t>
  </si>
  <si>
    <t>C:\Users\WIH_A\Desktop\Todo\利润预测202302\2月利润预测表-安家卢旺达公司 2023-2-20.xlsx</t>
  </si>
  <si>
    <t>C:\Users\WIH_A\Desktop\Todo\利润预测202302\2月利润预测表-安达莫桑公司2023-2-20.xlsx</t>
  </si>
  <si>
    <t>C:\Users\WIH_A\Desktop\Todo\利润预测202302\2月利润预测表-建安公司2023-1-31.xlsx</t>
  </si>
  <si>
    <t>C:\Users\WIH_A\Desktop\Todo\利润预测202302\2月利润预测表-海牛公司2023-2-20.xlsx</t>
  </si>
  <si>
    <t>C:\Users\WIH_A\Desktop\Todo\利润预测202302\2月利润预测表-硕海公司2023-2-19.xlsx</t>
  </si>
  <si>
    <t>C:\Users\WIH_A\Desktop\Todo\利润预测202302\2月利润预测表-红星玻璃公司2023-2-20.xlsx</t>
  </si>
  <si>
    <t>C:\Users\WIH_A\Desktop\Todo\利润预测202302\2月利润预测表-莫桑安家公司2023-2-20.xlsx</t>
  </si>
  <si>
    <t>1.xlsx</t>
  </si>
  <si>
    <t>2.xlsx</t>
  </si>
  <si>
    <t>3.xlsx</t>
  </si>
  <si>
    <t>4.xlsx</t>
  </si>
  <si>
    <t>5.xlsx</t>
  </si>
  <si>
    <t>6.xlsx</t>
  </si>
  <si>
    <t>7.xlsx</t>
  </si>
  <si>
    <t>8.xlsx</t>
  </si>
  <si>
    <t>9.xlsx</t>
  </si>
  <si>
    <t>10.xlsx</t>
  </si>
  <si>
    <t>11.xlsx</t>
  </si>
  <si>
    <t>12.xlsx</t>
  </si>
  <si>
    <t>值</t>
  </si>
  <si>
    <t>列</t>
  </si>
  <si>
    <t>行</t>
  </si>
  <si>
    <t>抵消</t>
  </si>
  <si>
    <t>卢旺达粉磨站</t>
  </si>
  <si>
    <t>国家水泥</t>
  </si>
  <si>
    <t>卡塔纳粉磨站</t>
  </si>
  <si>
    <t>大湖</t>
  </si>
  <si>
    <t>海牛</t>
  </si>
  <si>
    <t>total</t>
  </si>
  <si>
    <t>表名</t>
  </si>
  <si>
    <t>1、2023年Data-水泥板块-西控集团-2023-6-30.xlsx</t>
  </si>
  <si>
    <t>工作簿</t>
  </si>
  <si>
    <t>合并底稿</t>
  </si>
  <si>
    <t>D:\202007WIH\2.Financial Statement\CI\SLN本格拉公司.xlsx</t>
  </si>
  <si>
    <t>D:\202007WIH\2.Financial Statement\CI\刚果布红星玻璃有限责任公司.xlsx</t>
  </si>
  <si>
    <t>D:\202007WIH\2.Financial Statement\CI\刚果金安居贸易有限公司.xlsx</t>
  </si>
  <si>
    <t>D:\202007WIH\2.Financial Statement\CI\吉扎克西部特种水泥有限责任公司.xlsx</t>
  </si>
  <si>
    <t>D:\202007WIH\2.Financial Statement\CI\国家水泥股份公司.xlsx</t>
  </si>
  <si>
    <t>D:\202007WIH\2.Financial Statement\CI\国家预制和建筑材料有限公司.xlsx</t>
  </si>
  <si>
    <t>D:\202007WIH\2.Financial Statement\CI\塔什干安家水泥制品有限公司.xlsx</t>
  </si>
  <si>
    <t>D:\202007WIH\2.Financial Statement\CI\塔什干西部控股水泥有限责任公司.xlsx</t>
  </si>
  <si>
    <t>D:\202007WIH\2.Financial Statement\CI\大湖水泥卡塔纳简易股份有限公司.xlsx</t>
  </si>
  <si>
    <t>D:\202007WIH\2.Financial Statement\CI\大湖水泥简易股份有限公司.xlsx</t>
  </si>
  <si>
    <t>D:\202007WIH\2.Financial Statement\CI\太阳鸟资源有限公司.xlsx</t>
  </si>
  <si>
    <t>D:\202007WIH\2.Financial Statement\CI\安家建筑（莫桑比克）有限公司.xlsx</t>
  </si>
  <si>
    <t>D:\202007WIH\2.Financial Statement\CI\安家控股有限公司.xlsx</t>
  </si>
  <si>
    <t>D:\202007WIH\2.Financial Statement\CI\安家装配式建筑（刚果金）有限公司.xlsx</t>
  </si>
  <si>
    <t>D:\202007WIH\2.Financial Statement\CI\安家装配式建筑（南非）有限公司.xlsx</t>
  </si>
  <si>
    <t>D:\202007WIH\2.Financial Statement\CI\安家装配式建筑（尼日利亚）有限公司.xlsx</t>
  </si>
  <si>
    <t>D:\202007WIH\2.Financial Statement\CI\安恒安哥拉贸易有限公司.xlsx</t>
  </si>
  <si>
    <t>D:\202007WIH\2.Financial Statement\CI\安科共创技术有限公司.xlsx</t>
  </si>
  <si>
    <t>D:\202007WIH\2.Financial Statement\CI\安达物流莫桑比克有限公司.xlsx</t>
  </si>
  <si>
    <t>D:\202007WIH\2.Financial Statement\CI\安集延西部控股水泥有限公司.xlsx</t>
  </si>
  <si>
    <t>D:\202007WIH\2.Financial Statement\CI\梅尔卡水泥有限公司.xlsx</t>
  </si>
  <si>
    <t>D:\202007WIH\2.Financial Statement\CI\硕海（西安）国际贸易有限公司.xlsx</t>
  </si>
  <si>
    <t>D:\202007WIH\2.Financial Statement\CI\红狐狸国际投资业务有限公司.xlsx</t>
  </si>
  <si>
    <t>D:\202007WIH\2.Financial Statement\CI\莫桑比克海牛水泥(楠普拉)股份有限公司.xlsx</t>
  </si>
  <si>
    <t>D:\202007WIH\2.Financial Statement\CI\莫桑比克海牛水泥股份有限公司.xlsx</t>
  </si>
  <si>
    <t>D:\202007WIH\2.Financial Statement\CI\莱米国家水泥有限公司.xlsx</t>
  </si>
  <si>
    <t>D:\202007WIH\2.Financial Statement\CI\莱米国家石膏有限公司.xlsx</t>
  </si>
  <si>
    <t>D:\202007WIH\2.Financial Statement\CI\西控建筑安裝工程有限公司.xlsx</t>
  </si>
  <si>
    <t>D:\202007WIH\2.Financial Statement\CI\西部国际供应链有限公司.xlsx</t>
  </si>
  <si>
    <t>D:\202007WIH\2.Financial Statement\CI\西部国际控股乌干达水泥有限公司.xlsx</t>
  </si>
  <si>
    <t>D:\202007WIH\2.Financial Statement\CI\西部国际控股卢旺达水泥有限公司.xlsx</t>
  </si>
  <si>
    <t>D:\202007WIH\2.Financial Statement\CI\西部国际控股有限公司.xlsx</t>
  </si>
  <si>
    <t>D:\202007WIH\2.Financial Statement\CI\西部国际控股水泥发展有限公司.xlsx</t>
  </si>
  <si>
    <t>D:\202007WIH\2.Financial Statement\CI\西部国际控股石墨矿有限公司.xlsx</t>
  </si>
  <si>
    <t>D:\202007WIH\2.Financial Statement\CI\西部国际控股矿山勘探有限公司.xlsx</t>
  </si>
  <si>
    <t>D:\202007WIH\2.Financial Statement\CI\西部国际控股莫霍德科投资控股有限公司.xlsx</t>
  </si>
  <si>
    <t>D:\202007WIH\2.Financial Statement\CI\西部国际控股非洲有限公司.xlsx</t>
  </si>
  <si>
    <t>D:\202007WIH\2.Financial Statement\CI\西部国际新建筑材料有限公司.xlsx</t>
  </si>
  <si>
    <t>D:\202007WIH\2.Financial Statement\CI\西部国际材料有限公司.xlsx</t>
  </si>
  <si>
    <t>D:\202007WIH\2.Financial Statement\CI\西部国际物流控股有限公司.xlsx</t>
  </si>
  <si>
    <t>D:\202007WIH\2.Financial Statement\CI\马卡拉煤炭简易股份有限公司.xlsx</t>
  </si>
  <si>
    <t>D:\202007WIH\2.Financial Statement\CI\马来西亚建筑材料有限公司.xlsx</t>
  </si>
  <si>
    <t>莱米水泥银行借款</t>
  </si>
  <si>
    <t>硕海取得尧柏特种水泥公司借款</t>
  </si>
  <si>
    <t>红星玻璃收到FORSPAK水泥厂借款</t>
  </si>
  <si>
    <t>硕海取得陕西海牛国际贸易有限公司借款（海途）</t>
  </si>
  <si>
    <t>生成文本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</si>
</sst>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_);[Red]\(0.00\)"/>
    <numFmt numFmtId="165" formatCode="_ * #,##0.00_ ;_ * \-#,##0.00_ ;_ * &quot;-&quot;??_ ;_ @_ "/>
  </numFmts>
  <fonts count="12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0"/>
      <name val="Times New Roman"/>
      <family val="1"/>
    </font>
    <font>
      <u/>
      <sz val="11"/>
      <color theme="1"/>
      <name val="Calibri"/>
      <family val="2"/>
      <charset val="134"/>
      <scheme val="minor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2"/>
      <color indexed="8"/>
      <name val="Times New Roman"/>
      <family val="1"/>
    </font>
    <font>
      <sz val="10"/>
      <color indexed="8"/>
      <name val="宋体"/>
      <family val="3"/>
      <charset val="134"/>
    </font>
    <font>
      <sz val="8"/>
      <name val="Calibri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</patternFill>
    </fill>
  </fills>
  <borders count="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7" fillId="0" borderId="0"/>
    <xf numFmtId="0" fontId="1" fillId="0" borderId="0"/>
    <xf numFmtId="165" fontId="1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/>
  </cellStyleXfs>
  <cellXfs count="24">
    <xf numFmtId="0" fontId="0" fillId="0" borderId="0" xfId="0"/>
    <xf numFmtId="0" fontId="4" fillId="0" borderId="0" xfId="1" applyFont="1">
      <alignment vertical="center"/>
    </xf>
    <xf numFmtId="0" fontId="3" fillId="0" borderId="0" xfId="1">
      <alignment vertical="center"/>
    </xf>
    <xf numFmtId="0" fontId="2" fillId="0" borderId="0" xfId="2">
      <alignment vertical="center"/>
    </xf>
    <xf numFmtId="0" fontId="2" fillId="2" borderId="0" xfId="2" applyFill="1">
      <alignment vertical="center"/>
    </xf>
    <xf numFmtId="0" fontId="2" fillId="0" borderId="1" xfId="2" applyBorder="1">
      <alignment vertical="center"/>
    </xf>
    <xf numFmtId="43" fontId="5" fillId="0" borderId="0" xfId="3" applyFont="1">
      <alignment vertical="center"/>
    </xf>
    <xf numFmtId="0" fontId="6" fillId="0" borderId="0" xfId="2" applyFont="1">
      <alignment vertical="center"/>
    </xf>
    <xf numFmtId="0" fontId="2" fillId="3" borderId="0" xfId="2" applyFill="1">
      <alignment vertical="center"/>
    </xf>
    <xf numFmtId="0" fontId="2" fillId="0" borderId="0" xfId="2" quotePrefix="1">
      <alignment vertical="center"/>
    </xf>
    <xf numFmtId="43" fontId="3" fillId="0" borderId="0" xfId="4" applyAlignment="1"/>
    <xf numFmtId="164" fontId="8" fillId="0" borderId="2" xfId="5" applyNumberFormat="1" applyFont="1" applyBorder="1" applyAlignment="1">
      <alignment horizontal="left" vertical="center" wrapText="1"/>
    </xf>
    <xf numFmtId="43" fontId="2" fillId="0" borderId="0" xfId="2" applyNumberFormat="1">
      <alignment vertical="center"/>
    </xf>
    <xf numFmtId="0" fontId="2" fillId="0" borderId="0" xfId="2" applyAlignment="1">
      <alignment vertical="center" wrapText="1"/>
    </xf>
    <xf numFmtId="49" fontId="2" fillId="0" borderId="0" xfId="2" applyNumberFormat="1" applyAlignment="1">
      <alignment horizontal="left" vertical="center"/>
    </xf>
    <xf numFmtId="0" fontId="9" fillId="4" borderId="0" xfId="1" applyFont="1" applyFill="1" applyAlignment="1">
      <alignment horizontal="center" vertical="center"/>
    </xf>
    <xf numFmtId="0" fontId="10" fillId="0" borderId="2" xfId="1" applyFont="1" applyBorder="1" applyAlignment="1">
      <alignment horizontal="left" vertical="center" wrapText="1"/>
    </xf>
    <xf numFmtId="0" fontId="2" fillId="0" borderId="2" xfId="2" applyBorder="1" applyAlignment="1">
      <alignment vertical="center" wrapText="1"/>
    </xf>
    <xf numFmtId="43" fontId="0" fillId="0" borderId="0" xfId="3" applyFont="1">
      <alignment vertical="center"/>
    </xf>
    <xf numFmtId="0" fontId="2" fillId="0" borderId="2" xfId="2" applyBorder="1" applyAlignment="1">
      <alignment horizontal="center" vertical="center"/>
    </xf>
    <xf numFmtId="0" fontId="1" fillId="0" borderId="0" xfId="6"/>
    <xf numFmtId="165" fontId="0" fillId="0" borderId="0" xfId="7" applyFont="1" applyAlignment="1"/>
    <xf numFmtId="43" fontId="0" fillId="0" borderId="0" xfId="8" applyFont="1"/>
    <xf numFmtId="0" fontId="3" fillId="0" borderId="0" xfId="1" applyAlignment="1">
      <alignment horizontal="center" vertical="center" wrapText="1"/>
    </xf>
  </cellXfs>
  <cellStyles count="9">
    <cellStyle name="Comma" xfId="8" builtinId="3"/>
    <cellStyle name="Comma 2" xfId="3" xr:uid="{49B43F99-1B9F-4B64-9D9F-AD1D92C1034B}"/>
    <cellStyle name="Comma 3" xfId="7" xr:uid="{A0FDB464-2050-41A4-8163-23FBAB7BEC7E}"/>
    <cellStyle name="Normal" xfId="0" builtinId="0"/>
    <cellStyle name="Normal 2" xfId="2" xr:uid="{B1895DE5-2805-4B93-A0D2-A9E7741B75FC}"/>
    <cellStyle name="Normal 3" xfId="6" xr:uid="{1BABB8D9-BA41-4A79-BDBC-D80C9CE7B0D0}"/>
    <cellStyle name="千位分隔 2 2" xfId="4" xr:uid="{138EEDD7-F706-4496-9B83-EE90EE1AD2A1}"/>
    <cellStyle name="常规 2" xfId="1" xr:uid="{01CFD3AC-E163-476D-A0EB-5BC5E6222E79}"/>
    <cellStyle name="常规 3" xfId="5" xr:uid="{31882421-21F5-4C33-AE91-AC39EFD14817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ddins_Kevin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02007WIH/0.Archive/2&#12289;&#26376;&#24230;&#36164;&#26009;/&#35199;&#25511;2023&#24180;06&#26376;&#23436;&#25972;&#29256;&#25253;&#34920;/2&#12289;2023&#24180;06&#26376;&#32479;&#35745;&#20998;&#26512;/2023&#24180;Data&#34920;/1&#12289;2023&#24180;Data-&#27700;&#27877;&#26495;&#22359;-&#35199;&#25511;&#38598;&#22242;-2023-6-3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ddins_Kevin"/>
    </sheetNames>
    <definedNames>
      <definedName name="t_cfl"/>
      <definedName name="t_gs_num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水泥+熟料底稿"/>
      <sheetName val="水泥底稿"/>
      <sheetName val="熟料底稿"/>
      <sheetName val="total"/>
      <sheetName val="海牛"/>
      <sheetName val="大湖"/>
      <sheetName val="卡塔纳粉磨站"/>
      <sheetName val="国家水泥"/>
      <sheetName val="卢旺达粉磨站"/>
      <sheetName val="抵消"/>
      <sheetName val="Table Of Contents"/>
    </sheetNames>
    <sheetDataSet>
      <sheetData sheetId="0"/>
      <sheetData sheetId="1"/>
      <sheetData sheetId="2"/>
      <sheetData sheetId="3">
        <row r="6">
          <cell r="D6">
            <v>6748.96</v>
          </cell>
        </row>
      </sheetData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3E79-9CDF-4F36-8440-4ADA9ADF9F3D}">
  <sheetPr codeName="Sheet11"/>
  <dimension ref="A1:F43"/>
  <sheetViews>
    <sheetView workbookViewId="0">
      <pane xSplit="3" ySplit="1" topLeftCell="D8" activePane="bottomRight" state="frozen"/>
      <selection activeCell="A28" sqref="A28"/>
      <selection pane="topRight" activeCell="A28" sqref="A28"/>
      <selection pane="bottomLeft" activeCell="A28" sqref="A28"/>
      <selection pane="bottomRight" activeCell="E25" sqref="E25"/>
    </sheetView>
  </sheetViews>
  <sheetFormatPr defaultRowHeight="15"/>
  <cols>
    <col min="1" max="1" width="36" style="2" customWidth="1"/>
    <col min="2" max="2" width="46.140625" style="2" customWidth="1"/>
    <col min="3" max="3" width="61.5703125" style="2" customWidth="1"/>
    <col min="4" max="4" width="20.140625" style="2" customWidth="1"/>
    <col min="5" max="5" width="48.5703125" style="2" customWidth="1"/>
    <col min="6" max="16384" width="9.140625" style="2"/>
  </cols>
  <sheetData>
    <row r="1" spans="1:6" ht="15" customHeight="1">
      <c r="A1" s="1" t="s">
        <v>0</v>
      </c>
      <c r="B1" s="1" t="s">
        <v>1</v>
      </c>
      <c r="C1" s="1" t="s">
        <v>2</v>
      </c>
      <c r="D1" s="2" t="s">
        <v>3</v>
      </c>
      <c r="E1" s="23" t="s">
        <v>4</v>
      </c>
      <c r="F1" s="2">
        <f>COUNTA(B:B)-1</f>
        <v>42</v>
      </c>
    </row>
    <row r="2" spans="1:6">
      <c r="A2" s="2" t="s">
        <v>697</v>
      </c>
      <c r="B2" s="2" t="str" cm="1">
        <f t="array" ref="B2">[1]!t_cfl([1]!t_cfl(C2,-1,"-"),1,".")</f>
        <v>SLN本格拉公司</v>
      </c>
      <c r="C2" s="2" t="str" cm="1">
        <f t="array" ref="C2">[1]!t_cfl(A2,-1,"\")</f>
        <v>SLN本格拉公司.xlsx</v>
      </c>
      <c r="D2" s="2" t="s">
        <v>696</v>
      </c>
      <c r="E2" s="23"/>
      <c r="F2" s="2" t="s">
        <v>6</v>
      </c>
    </row>
    <row r="3" spans="1:6">
      <c r="A3" s="2" t="s">
        <v>698</v>
      </c>
      <c r="B3" s="2" t="str" cm="1">
        <f t="array" ref="B3">[1]!t_cfl([1]!t_cfl(C3,-1,"-"),1,".")</f>
        <v>刚果布红星玻璃有限责任公司</v>
      </c>
      <c r="C3" s="2" t="str">
        <f>[1]!t_cfl(A3,-1,"\")</f>
        <v>刚果布红星玻璃有限责任公司.xlsx</v>
      </c>
      <c r="D3" s="2" t="s">
        <v>696</v>
      </c>
      <c r="E3" s="23"/>
      <c r="F3" s="2" t="s">
        <v>7</v>
      </c>
    </row>
    <row r="4" spans="1:6">
      <c r="A4" s="2" t="s">
        <v>699</v>
      </c>
      <c r="B4" s="2" t="str" cm="1">
        <f t="array" ref="B4">[1]!t_cfl([1]!t_cfl(C4,-1,"-"),1,".")</f>
        <v>刚果金安居贸易有限公司</v>
      </c>
      <c r="C4" s="2" t="str">
        <f>[1]!t_cfl(A4,-1,"\")</f>
        <v>刚果金安居贸易有限公司.xlsx</v>
      </c>
      <c r="D4" s="2" t="s">
        <v>696</v>
      </c>
      <c r="E4" s="23"/>
      <c r="F4" s="2" t="s">
        <v>8</v>
      </c>
    </row>
    <row r="5" spans="1:6">
      <c r="A5" s="2" t="s">
        <v>700</v>
      </c>
      <c r="B5" s="2" t="str" cm="1">
        <f t="array" ref="B5">[1]!t_cfl([1]!t_cfl(C5,-1,"-"),1,".")</f>
        <v>吉扎克西部特种水泥有限责任公司</v>
      </c>
      <c r="C5" s="2" t="str">
        <f>[1]!t_cfl(A5,-1,"\")</f>
        <v>吉扎克西部特种水泥有限责任公司.xlsx</v>
      </c>
      <c r="D5" s="2" t="s">
        <v>696</v>
      </c>
      <c r="E5" s="23"/>
      <c r="F5" s="2" t="s">
        <v>9</v>
      </c>
    </row>
    <row r="6" spans="1:6">
      <c r="A6" s="2" t="s">
        <v>701</v>
      </c>
      <c r="B6" s="2" t="str" cm="1">
        <f t="array" ref="B6">[1]!t_cfl([1]!t_cfl(C6,-1,"-"),1,".")</f>
        <v>国家水泥股份公司</v>
      </c>
      <c r="C6" s="2" t="str">
        <f>[1]!t_cfl(A6,-1,"\")</f>
        <v>国家水泥股份公司.xlsx</v>
      </c>
      <c r="D6" s="2" t="s">
        <v>696</v>
      </c>
      <c r="E6" s="23"/>
      <c r="F6" s="2" t="s">
        <v>10</v>
      </c>
    </row>
    <row r="7" spans="1:6">
      <c r="A7" s="2" t="s">
        <v>702</v>
      </c>
      <c r="B7" s="2" t="str" cm="1">
        <f t="array" ref="B7">[1]!t_cfl([1]!t_cfl(C7,-1,"-"),1,".")</f>
        <v>国家预制和建筑材料有限公司</v>
      </c>
      <c r="C7" s="2" t="str">
        <f>[1]!t_cfl(A7,-1,"\")</f>
        <v>国家预制和建筑材料有限公司.xlsx</v>
      </c>
      <c r="D7" s="2" t="s">
        <v>696</v>
      </c>
      <c r="F7" s="2" t="s">
        <v>11</v>
      </c>
    </row>
    <row r="8" spans="1:6">
      <c r="A8" s="2" t="s">
        <v>703</v>
      </c>
      <c r="B8" s="2" t="str" cm="1">
        <f t="array" ref="B8">[1]!t_cfl([1]!t_cfl(C8,-1,"-"),1,".")</f>
        <v>塔什干安家水泥制品有限公司</v>
      </c>
      <c r="C8" s="2" t="str">
        <f>[1]!t_cfl(A8,-1,"\")</f>
        <v>塔什干安家水泥制品有限公司.xlsx</v>
      </c>
      <c r="D8" s="2" t="s">
        <v>696</v>
      </c>
      <c r="F8" s="2" t="s">
        <v>12</v>
      </c>
    </row>
    <row r="9" spans="1:6">
      <c r="A9" s="2" t="s">
        <v>704</v>
      </c>
      <c r="B9" s="2" t="str" cm="1">
        <f t="array" ref="B9">[1]!t_cfl([1]!t_cfl(C9,-1,"-"),1,".")</f>
        <v>塔什干西部控股水泥有限责任公司</v>
      </c>
      <c r="C9" s="2" t="str">
        <f>[1]!t_cfl(A9,-1,"\")</f>
        <v>塔什干西部控股水泥有限责任公司.xlsx</v>
      </c>
      <c r="D9" s="2" t="s">
        <v>696</v>
      </c>
      <c r="F9" s="2" t="s">
        <v>13</v>
      </c>
    </row>
    <row r="10" spans="1:6">
      <c r="A10" s="2" t="s">
        <v>705</v>
      </c>
      <c r="B10" s="2" t="str" cm="1">
        <f t="array" ref="B10">[1]!t_cfl([1]!t_cfl(C10,-1,"-"),1,".")</f>
        <v>大湖水泥卡塔纳简易股份有限公司</v>
      </c>
      <c r="C10" s="2" t="str">
        <f>[1]!t_cfl(A10,-1,"\")</f>
        <v>大湖水泥卡塔纳简易股份有限公司.xlsx</v>
      </c>
      <c r="D10" s="2" t="s">
        <v>696</v>
      </c>
      <c r="F10" s="2" t="s">
        <v>14</v>
      </c>
    </row>
    <row r="11" spans="1:6">
      <c r="A11" s="2" t="s">
        <v>706</v>
      </c>
      <c r="B11" s="2" t="str" cm="1">
        <f t="array" ref="B11">[1]!t_cfl([1]!t_cfl(C11,-1,"-"),1,".")</f>
        <v>大湖水泥简易股份有限公司</v>
      </c>
      <c r="C11" s="2" t="str">
        <f>[1]!t_cfl(A11,-1,"\")</f>
        <v>大湖水泥简易股份有限公司.xlsx</v>
      </c>
      <c r="D11" s="2" t="s">
        <v>696</v>
      </c>
    </row>
    <row r="12" spans="1:6">
      <c r="A12" s="2" t="s">
        <v>707</v>
      </c>
      <c r="B12" s="2" t="str" cm="1">
        <f t="array" ref="B12">[1]!t_cfl([1]!t_cfl(C12,-1,"-"),1,".")</f>
        <v>太阳鸟资源有限公司</v>
      </c>
      <c r="C12" s="2" t="str">
        <f>[1]!t_cfl(A12,-1,"\")</f>
        <v>太阳鸟资源有限公司.xlsx</v>
      </c>
      <c r="D12" s="2" t="s">
        <v>696</v>
      </c>
      <c r="F12" s="2" t="s">
        <v>15</v>
      </c>
    </row>
    <row r="13" spans="1:6">
      <c r="A13" s="2" t="s">
        <v>708</v>
      </c>
      <c r="B13" s="2" t="str" cm="1">
        <f t="array" ref="B13">[1]!t_cfl([1]!t_cfl(C13,-1,"-"),1,".")</f>
        <v>安家建筑（莫桑比克）有限公司</v>
      </c>
      <c r="C13" s="2" t="str">
        <f>[1]!t_cfl(A13,-1,"\")</f>
        <v>安家建筑（莫桑比克）有限公司.xlsx</v>
      </c>
      <c r="D13" s="2" t="s">
        <v>696</v>
      </c>
      <c r="F13" s="2" t="s">
        <v>16</v>
      </c>
    </row>
    <row r="14" spans="1:6">
      <c r="A14" s="2" t="s">
        <v>709</v>
      </c>
      <c r="B14" s="2" t="str" cm="1">
        <f t="array" ref="B14">[1]!t_cfl([1]!t_cfl(C14,-1,"-"),1,".")</f>
        <v>安家控股有限公司</v>
      </c>
      <c r="C14" s="2" t="str">
        <f>[1]!t_cfl(A14,-1,"\")</f>
        <v>安家控股有限公司.xlsx</v>
      </c>
      <c r="D14" s="2" t="s">
        <v>696</v>
      </c>
      <c r="F14" s="2" t="s">
        <v>17</v>
      </c>
    </row>
    <row r="15" spans="1:6">
      <c r="A15" s="2" t="s">
        <v>710</v>
      </c>
      <c r="B15" s="2" t="str" cm="1">
        <f t="array" ref="B15">[1]!t_cfl([1]!t_cfl(C15,-1,"-"),1,".")</f>
        <v>安家装配式建筑（刚果金）有限公司</v>
      </c>
      <c r="C15" s="2" t="str">
        <f>[1]!t_cfl(A15,-1,"\")</f>
        <v>安家装配式建筑（刚果金）有限公司.xlsx</v>
      </c>
      <c r="D15" s="2" t="s">
        <v>696</v>
      </c>
      <c r="F15" s="2" t="s">
        <v>18</v>
      </c>
    </row>
    <row r="16" spans="1:6">
      <c r="A16" s="2" t="s">
        <v>711</v>
      </c>
      <c r="B16" s="2" t="str" cm="1">
        <f t="array" ref="B16">[1]!t_cfl([1]!t_cfl(C16,-1,"-"),1,".")</f>
        <v>安家装配式建筑（南非）有限公司</v>
      </c>
      <c r="C16" s="2" t="str">
        <f>[1]!t_cfl(A16,-1,"\")</f>
        <v>安家装配式建筑（南非）有限公司.xlsx</v>
      </c>
      <c r="D16" s="2" t="s">
        <v>696</v>
      </c>
      <c r="F16" s="2" t="s">
        <v>5</v>
      </c>
    </row>
    <row r="17" spans="1:6">
      <c r="A17" s="2" t="s">
        <v>712</v>
      </c>
      <c r="B17" s="2" t="str" cm="1">
        <f t="array" ref="B17">[1]!t_cfl([1]!t_cfl(C17,-1,"-"),1,".")</f>
        <v>安家装配式建筑（尼日利亚）有限公司</v>
      </c>
      <c r="C17" s="2" t="str">
        <f>[1]!t_cfl(A17,-1,"\")</f>
        <v>安家装配式建筑（尼日利亚）有限公司.xlsx</v>
      </c>
      <c r="D17" s="2" t="s">
        <v>696</v>
      </c>
      <c r="F17" s="2" t="s">
        <v>19</v>
      </c>
    </row>
    <row r="18" spans="1:6">
      <c r="A18" s="2" t="s">
        <v>713</v>
      </c>
      <c r="B18" s="2" t="str" cm="1">
        <f t="array" ref="B18">[1]!t_cfl([1]!t_cfl(C18,-1,"-"),1,".")</f>
        <v>安恒安哥拉贸易有限公司</v>
      </c>
      <c r="C18" s="2" t="str">
        <f>[1]!t_cfl(A18,-1,"\")</f>
        <v>安恒安哥拉贸易有限公司.xlsx</v>
      </c>
      <c r="D18" s="2" t="s">
        <v>696</v>
      </c>
      <c r="F18" s="2" t="s">
        <v>20</v>
      </c>
    </row>
    <row r="19" spans="1:6">
      <c r="A19" s="2" t="s">
        <v>714</v>
      </c>
      <c r="B19" s="2" t="str" cm="1">
        <f t="array" ref="B19">[1]!t_cfl([1]!t_cfl(C19,-1,"-"),1,".")</f>
        <v>安科共创技术有限公司</v>
      </c>
      <c r="C19" s="2" t="str">
        <f>[1]!t_cfl(A19,-1,"\")</f>
        <v>安科共创技术有限公司.xlsx</v>
      </c>
      <c r="D19" s="2" t="s">
        <v>696</v>
      </c>
    </row>
    <row r="20" spans="1:6">
      <c r="A20" s="2" t="s">
        <v>715</v>
      </c>
      <c r="B20" s="2" t="str" cm="1">
        <f t="array" ref="B20">[1]!t_cfl([1]!t_cfl(C20,-1,"-"),1,".")</f>
        <v>安达物流莫桑比克有限公司</v>
      </c>
      <c r="C20" s="2" t="str">
        <f>[1]!t_cfl(A20,-1,"\")</f>
        <v>安达物流莫桑比克有限公司.xlsx</v>
      </c>
      <c r="D20" s="2" t="s">
        <v>696</v>
      </c>
    </row>
    <row r="21" spans="1:6">
      <c r="A21" s="2" t="s">
        <v>716</v>
      </c>
      <c r="B21" s="2" t="str" cm="1">
        <f t="array" ref="B21">[1]!t_cfl([1]!t_cfl(C21,-1,"-"),1,".")</f>
        <v>安集延西部控股水泥有限公司</v>
      </c>
      <c r="C21" s="2" t="str">
        <f>[1]!t_cfl(A21,-1,"\")</f>
        <v>安集延西部控股水泥有限公司.xlsx</v>
      </c>
      <c r="D21" s="2" t="s">
        <v>696</v>
      </c>
    </row>
    <row r="22" spans="1:6">
      <c r="A22" s="2" t="s">
        <v>717</v>
      </c>
      <c r="B22" s="2" t="str" cm="1">
        <f t="array" ref="B22">[1]!t_cfl([1]!t_cfl(C22,-1,"-"),1,".")</f>
        <v>梅尔卡水泥有限公司</v>
      </c>
      <c r="C22" s="2" t="str">
        <f>[1]!t_cfl(A22,-1,"\")</f>
        <v>梅尔卡水泥有限公司.xlsx</v>
      </c>
      <c r="D22" s="2" t="s">
        <v>696</v>
      </c>
    </row>
    <row r="23" spans="1:6">
      <c r="A23" s="2" t="s">
        <v>718</v>
      </c>
      <c r="B23" s="2" t="str" cm="1">
        <f t="array" ref="B23">[1]!t_cfl([1]!t_cfl(C23,-1,"-"),1,".")</f>
        <v>硕海（西安）国际贸易有限公司</v>
      </c>
      <c r="C23" s="2" t="str">
        <f>[1]!t_cfl(A23,-1,"\")</f>
        <v>硕海（西安）国际贸易有限公司.xlsx</v>
      </c>
      <c r="D23" s="2" t="s">
        <v>696</v>
      </c>
    </row>
    <row r="24" spans="1:6">
      <c r="A24" s="2" t="s">
        <v>719</v>
      </c>
      <c r="B24" s="2" t="str" cm="1">
        <f t="array" ref="B24">[1]!t_cfl([1]!t_cfl(C24,-1,"-"),1,".")</f>
        <v>红狐狸国际投资业务有限公司</v>
      </c>
      <c r="C24" s="2" t="str">
        <f>[1]!t_cfl(A24,-1,"\")</f>
        <v>红狐狸国际投资业务有限公司.xlsx</v>
      </c>
      <c r="D24" s="2" t="s">
        <v>696</v>
      </c>
    </row>
    <row r="25" spans="1:6">
      <c r="A25" s="2" t="s">
        <v>720</v>
      </c>
      <c r="B25" s="2" t="str" cm="1">
        <f t="array" ref="B25">[1]!t_cfl([1]!t_cfl(C25,-1,"-"),1,".")</f>
        <v>莫桑比克海牛水泥(楠普拉)股份有限公司</v>
      </c>
      <c r="C25" s="2" t="str">
        <f>[1]!t_cfl(A25,-1,"\")</f>
        <v>莫桑比克海牛水泥(楠普拉)股份有限公司.xlsx</v>
      </c>
      <c r="D25" s="2" t="s">
        <v>696</v>
      </c>
    </row>
    <row r="26" spans="1:6">
      <c r="A26" s="2" t="s">
        <v>721</v>
      </c>
      <c r="B26" s="2" t="str" cm="1">
        <f t="array" ref="B26">[1]!t_cfl([1]!t_cfl(C26,-1,"-"),1,".")</f>
        <v>莫桑比克海牛水泥股份有限公司</v>
      </c>
      <c r="C26" s="2" t="str">
        <f>[1]!t_cfl(A26,-1,"\")</f>
        <v>莫桑比克海牛水泥股份有限公司.xlsx</v>
      </c>
      <c r="D26" s="2" t="s">
        <v>696</v>
      </c>
    </row>
    <row r="27" spans="1:6">
      <c r="A27" s="2" t="s">
        <v>722</v>
      </c>
      <c r="B27" s="2" t="str" cm="1">
        <f t="array" ref="B27">[1]!t_cfl([1]!t_cfl(C27,-1,"-"),1,".")</f>
        <v>莱米国家水泥有限公司</v>
      </c>
      <c r="C27" s="2" t="str">
        <f>[1]!t_cfl(A27,-1,"\")</f>
        <v>莱米国家水泥有限公司.xlsx</v>
      </c>
      <c r="D27" s="2" t="s">
        <v>696</v>
      </c>
    </row>
    <row r="28" spans="1:6">
      <c r="A28" s="2" t="s">
        <v>723</v>
      </c>
      <c r="B28" s="2" t="str" cm="1">
        <f t="array" ref="B28">[1]!t_cfl([1]!t_cfl(C28,-1,"-"),1,".")</f>
        <v>莱米国家石膏有限公司</v>
      </c>
      <c r="C28" s="2" t="str">
        <f>[1]!t_cfl(A28,-1,"\")</f>
        <v>莱米国家石膏有限公司.xlsx</v>
      </c>
      <c r="D28" s="2" t="s">
        <v>696</v>
      </c>
    </row>
    <row r="29" spans="1:6">
      <c r="A29" s="2" t="s">
        <v>724</v>
      </c>
      <c r="B29" s="2" t="str" cm="1">
        <f t="array" ref="B29">[1]!t_cfl([1]!t_cfl(C29,-1,"-"),1,".")</f>
        <v>西控建筑安裝工程有限公司</v>
      </c>
      <c r="C29" s="2" t="str">
        <f>[1]!t_cfl(A29,-1,"\")</f>
        <v>西控建筑安裝工程有限公司.xlsx</v>
      </c>
      <c r="D29" s="2" t="s">
        <v>696</v>
      </c>
    </row>
    <row r="30" spans="1:6">
      <c r="A30" s="2" t="s">
        <v>725</v>
      </c>
      <c r="B30" s="2" t="str" cm="1">
        <f t="array" ref="B30">[1]!t_cfl([1]!t_cfl(C30,-1,"-"),1,".")</f>
        <v>西部国际供应链有限公司</v>
      </c>
      <c r="C30" s="2" t="str">
        <f>[1]!t_cfl(A30,-1,"\")</f>
        <v>西部国际供应链有限公司.xlsx</v>
      </c>
      <c r="D30" s="2" t="s">
        <v>696</v>
      </c>
    </row>
    <row r="31" spans="1:6">
      <c r="A31" s="2" t="s">
        <v>726</v>
      </c>
      <c r="B31" s="2" t="str" cm="1">
        <f t="array" ref="B31">[1]!t_cfl([1]!t_cfl(C31,-1,"-"),1,".")</f>
        <v>西部国际控股乌干达水泥有限公司</v>
      </c>
      <c r="C31" s="2" t="str">
        <f>[1]!t_cfl(A31,-1,"\")</f>
        <v>西部国际控股乌干达水泥有限公司.xlsx</v>
      </c>
      <c r="D31" s="2" t="s">
        <v>696</v>
      </c>
    </row>
    <row r="32" spans="1:6">
      <c r="A32" s="2" t="s">
        <v>727</v>
      </c>
      <c r="B32" s="2" t="str" cm="1">
        <f t="array" ref="B32">[1]!t_cfl([1]!t_cfl(C32,-1,"-"),1,".")</f>
        <v>西部国际控股卢旺达水泥有限公司</v>
      </c>
      <c r="C32" s="2" t="str">
        <f>[1]!t_cfl(A32,-1,"\")</f>
        <v>西部国际控股卢旺达水泥有限公司.xlsx</v>
      </c>
      <c r="D32" s="2" t="s">
        <v>696</v>
      </c>
    </row>
    <row r="33" spans="1:4">
      <c r="A33" s="2" t="s">
        <v>728</v>
      </c>
      <c r="B33" s="2" t="str" cm="1">
        <f t="array" ref="B33">[1]!t_cfl([1]!t_cfl(C33,-1,"-"),1,".")</f>
        <v>西部国际控股有限公司</v>
      </c>
      <c r="C33" s="2" t="str">
        <f>[1]!t_cfl(A33,-1,"\")</f>
        <v>西部国际控股有限公司.xlsx</v>
      </c>
      <c r="D33" s="2" t="s">
        <v>696</v>
      </c>
    </row>
    <row r="34" spans="1:4">
      <c r="A34" s="2" t="s">
        <v>729</v>
      </c>
      <c r="B34" s="2" t="str" cm="1">
        <f t="array" ref="B34">[1]!t_cfl([1]!t_cfl(C34,-1,"-"),1,".")</f>
        <v>西部国际控股水泥发展有限公司</v>
      </c>
      <c r="C34" s="2" t="str">
        <f>[1]!t_cfl(A34,-1,"\")</f>
        <v>西部国际控股水泥发展有限公司.xlsx</v>
      </c>
      <c r="D34" s="2" t="s">
        <v>696</v>
      </c>
    </row>
    <row r="35" spans="1:4">
      <c r="A35" s="2" t="s">
        <v>730</v>
      </c>
      <c r="B35" s="2" t="str" cm="1">
        <f t="array" ref="B35">[1]!t_cfl([1]!t_cfl(C35,-1,"-"),1,".")</f>
        <v>西部国际控股石墨矿有限公司</v>
      </c>
      <c r="C35" s="2" t="str">
        <f>[1]!t_cfl(A35,-1,"\")</f>
        <v>西部国际控股石墨矿有限公司.xlsx</v>
      </c>
      <c r="D35" s="2" t="s">
        <v>696</v>
      </c>
    </row>
    <row r="36" spans="1:4">
      <c r="A36" s="2" t="s">
        <v>731</v>
      </c>
      <c r="B36" s="2" t="str" cm="1">
        <f t="array" ref="B36">[1]!t_cfl([1]!t_cfl(C36,-1,"-"),1,".")</f>
        <v>西部国际控股矿山勘探有限公司</v>
      </c>
      <c r="C36" s="2" t="str">
        <f>[1]!t_cfl(A36,-1,"\")</f>
        <v>西部国际控股矿山勘探有限公司.xlsx</v>
      </c>
      <c r="D36" s="2" t="s">
        <v>696</v>
      </c>
    </row>
    <row r="37" spans="1:4">
      <c r="A37" s="2" t="s">
        <v>732</v>
      </c>
      <c r="B37" s="2" t="str" cm="1">
        <f t="array" ref="B37">[1]!t_cfl([1]!t_cfl(C37,-1,"-"),1,".")</f>
        <v>西部国际控股莫霍德科投资控股有限公司</v>
      </c>
      <c r="C37" s="2" t="str">
        <f>[1]!t_cfl(A37,-1,"\")</f>
        <v>西部国际控股莫霍德科投资控股有限公司.xlsx</v>
      </c>
      <c r="D37" s="2" t="s">
        <v>696</v>
      </c>
    </row>
    <row r="38" spans="1:4">
      <c r="A38" s="2" t="s">
        <v>733</v>
      </c>
      <c r="B38" s="2" t="str" cm="1">
        <f t="array" ref="B38">[1]!t_cfl([1]!t_cfl(C38,-1,"-"),1,".")</f>
        <v>西部国际控股非洲有限公司</v>
      </c>
      <c r="C38" s="2" t="str">
        <f>[1]!t_cfl(A38,-1,"\")</f>
        <v>西部国际控股非洲有限公司.xlsx</v>
      </c>
      <c r="D38" s="2" t="s">
        <v>696</v>
      </c>
    </row>
    <row r="39" spans="1:4">
      <c r="A39" s="2" t="s">
        <v>734</v>
      </c>
      <c r="B39" s="2" t="str" cm="1">
        <f t="array" ref="B39">[1]!t_cfl([1]!t_cfl(C39,-1,"-"),1,".")</f>
        <v>西部国际新建筑材料有限公司</v>
      </c>
      <c r="C39" s="2" t="str">
        <f>[1]!t_cfl(A39,-1,"\")</f>
        <v>西部国际新建筑材料有限公司.xlsx</v>
      </c>
      <c r="D39" s="2" t="s">
        <v>696</v>
      </c>
    </row>
    <row r="40" spans="1:4">
      <c r="A40" s="2" t="s">
        <v>735</v>
      </c>
      <c r="B40" s="2" t="str" cm="1">
        <f t="array" ref="B40">[1]!t_cfl([1]!t_cfl(C40,-1,"-"),1,".")</f>
        <v>西部国际材料有限公司</v>
      </c>
      <c r="C40" s="2" t="str">
        <f>[1]!t_cfl(A40,-1,"\")</f>
        <v>西部国际材料有限公司.xlsx</v>
      </c>
      <c r="D40" s="2" t="s">
        <v>696</v>
      </c>
    </row>
    <row r="41" spans="1:4">
      <c r="A41" s="2" t="s">
        <v>736</v>
      </c>
      <c r="B41" s="2" t="str" cm="1">
        <f t="array" ref="B41">[1]!t_cfl([1]!t_cfl(C41,-1,"-"),1,".")</f>
        <v>西部国际物流控股有限公司</v>
      </c>
      <c r="C41" s="2" t="str">
        <f>[1]!t_cfl(A41,-1,"\")</f>
        <v>西部国际物流控股有限公司.xlsx</v>
      </c>
      <c r="D41" s="2" t="s">
        <v>696</v>
      </c>
    </row>
    <row r="42" spans="1:4">
      <c r="A42" s="2" t="s">
        <v>737</v>
      </c>
      <c r="B42" s="2" t="str" cm="1">
        <f t="array" ref="B42">[1]!t_cfl([1]!t_cfl(C42,-1,"-"),1,".")</f>
        <v>马卡拉煤炭简易股份有限公司</v>
      </c>
      <c r="C42" s="2" t="str">
        <f>[1]!t_cfl(A42,-1,"\")</f>
        <v>马卡拉煤炭简易股份有限公司.xlsx</v>
      </c>
      <c r="D42" s="2" t="s">
        <v>696</v>
      </c>
    </row>
    <row r="43" spans="1:4">
      <c r="A43" s="2" t="s">
        <v>738</v>
      </c>
      <c r="B43" s="2" t="str" cm="1">
        <f t="array" ref="B43">[1]!t_cfl([1]!t_cfl(C43,-1,"-"),1,".")</f>
        <v>马来西亚建筑材料有限公司</v>
      </c>
      <c r="C43" s="2" t="str">
        <f>[1]!t_cfl(A43,-1,"\")</f>
        <v>马来西亚建筑材料有限公司.xlsx</v>
      </c>
      <c r="D43" s="2" t="s">
        <v>696</v>
      </c>
    </row>
  </sheetData>
  <mergeCells count="1">
    <mergeCell ref="E1:E6"/>
  </mergeCells>
  <conditionalFormatting sqref="B1:B1048576">
    <cfRule type="duplicateValues" dxfId="6" priority="1"/>
    <cfRule type="duplicateValues" dxfId="5" priority="2"/>
  </conditionalFormatting>
  <conditionalFormatting sqref="C1:C1048576">
    <cfRule type="duplicateValues" dxfId="4" priority="3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DBF37-4F80-4F5C-875C-78B46D24909F}">
  <sheetPr codeName="Sheet2"/>
  <dimension ref="A1:W78"/>
  <sheetViews>
    <sheetView tabSelected="1" workbookViewId="0">
      <pane xSplit="1" ySplit="1" topLeftCell="G2" activePane="bottomRight" state="frozen"/>
      <selection activeCell="A28" sqref="A28"/>
      <selection pane="topRight" activeCell="A28" sqref="A28"/>
      <selection pane="bottomLeft" activeCell="A28" sqref="A28"/>
      <selection pane="bottomRight" activeCell="S14" sqref="S14"/>
    </sheetView>
  </sheetViews>
  <sheetFormatPr defaultRowHeight="15"/>
  <cols>
    <col min="1" max="1" width="19.28515625" style="3" bestFit="1" customWidth="1"/>
    <col min="2" max="2" width="19.7109375" style="3" bestFit="1" customWidth="1"/>
    <col min="3" max="3" width="11" style="3" bestFit="1" customWidth="1"/>
    <col min="4" max="4" width="8.42578125" style="3" bestFit="1" customWidth="1"/>
    <col min="5" max="5" width="25.42578125" style="3" bestFit="1" customWidth="1"/>
    <col min="6" max="18" width="9.140625" style="3"/>
    <col min="19" max="19" width="32.85546875" style="3" customWidth="1"/>
    <col min="20" max="20" width="15.28515625" style="3" bestFit="1" customWidth="1"/>
    <col min="21" max="22" width="14.28515625" style="3" customWidth="1"/>
    <col min="23" max="23" width="60.85546875" style="3" bestFit="1" customWidth="1"/>
    <col min="24" max="16384" width="9.140625" style="3"/>
  </cols>
  <sheetData>
    <row r="1" spans="1:23">
      <c r="A1" s="3" t="s">
        <v>21</v>
      </c>
      <c r="B1" s="3" t="s">
        <v>22</v>
      </c>
      <c r="C1" s="3" t="s">
        <v>23</v>
      </c>
      <c r="D1" s="3" t="s">
        <v>24</v>
      </c>
      <c r="E1" s="3" t="s">
        <v>25</v>
      </c>
      <c r="L1" s="3" t="s">
        <v>119</v>
      </c>
      <c r="M1" s="3" t="s">
        <v>120</v>
      </c>
      <c r="O1" s="3">
        <v>1</v>
      </c>
      <c r="P1" s="3" t="str">
        <f>CHAR(O1+64)</f>
        <v>A</v>
      </c>
      <c r="S1" s="3" t="s">
        <v>743</v>
      </c>
      <c r="T1" s="3" t="str">
        <f>_xlfn.TEXTJOIN("",0,W2:W5)</f>
        <v>莱米水泥银行借款36,429.27万元；硕海取得尧柏特种水泥公司借款500.00万元；红星玻璃收到FORSPAK水泥厂借款414.47万元；硕海取得陕西海牛国际贸易有限公司借款（海途）155.00万元；</v>
      </c>
    </row>
    <row r="2" spans="1:23">
      <c r="A2" s="3" t="s">
        <v>26</v>
      </c>
      <c r="B2" s="3" t="s">
        <v>27</v>
      </c>
      <c r="C2" s="3" t="s">
        <v>28</v>
      </c>
      <c r="D2" s="3">
        <v>11001</v>
      </c>
      <c r="L2" s="3" t="s">
        <v>121</v>
      </c>
      <c r="M2" s="3" t="s">
        <v>122</v>
      </c>
      <c r="O2" s="3" t="s">
        <v>123</v>
      </c>
      <c r="P2" s="3">
        <f>CODE(O2)</f>
        <v>65</v>
      </c>
      <c r="S2" t="s">
        <v>739</v>
      </c>
      <c r="T2" s="22">
        <f>V2*U2</f>
        <v>364292658.84779036</v>
      </c>
      <c r="U2" s="22">
        <v>7.2374466699999997</v>
      </c>
      <c r="V2" s="22">
        <v>50334417.020000003</v>
      </c>
      <c r="W2" s="3" t="str" cm="1">
        <f t="array" ref="W2">S2&amp;[1]!t_gs_num(T2/10000,2)&amp;"万元；"</f>
        <v>莱米水泥银行借款36,429.27万元；</v>
      </c>
    </row>
    <row r="3" spans="1:23">
      <c r="A3" s="3" t="s">
        <v>29</v>
      </c>
      <c r="B3" s="3" t="s">
        <v>27</v>
      </c>
      <c r="C3" s="3" t="s">
        <v>28</v>
      </c>
      <c r="D3" s="3">
        <v>11002</v>
      </c>
      <c r="G3" s="4"/>
      <c r="H3" s="4"/>
      <c r="I3" s="4"/>
      <c r="O3" s="5">
        <v>72</v>
      </c>
      <c r="S3" t="s">
        <v>740</v>
      </c>
      <c r="T3" s="22">
        <f t="shared" ref="T3:T5" si="0">V3*U3</f>
        <v>5000002.046130972</v>
      </c>
      <c r="U3" s="22">
        <v>7.2374466699999997</v>
      </c>
      <c r="V3" s="22">
        <v>690851.66</v>
      </c>
      <c r="W3" s="3" t="str" cm="1">
        <f t="array" ref="W3">S3&amp;[1]!t_gs_num(T3/10000,2)&amp;"万元；"</f>
        <v>硕海取得尧柏特种水泥公司借款500.00万元；</v>
      </c>
    </row>
    <row r="4" spans="1:23">
      <c r="A4" s="3" t="s">
        <v>30</v>
      </c>
      <c r="B4" s="3" t="s">
        <v>27</v>
      </c>
      <c r="C4" s="3" t="s">
        <v>28</v>
      </c>
      <c r="D4" s="3">
        <v>11003</v>
      </c>
      <c r="G4" s="4"/>
      <c r="H4" s="4"/>
      <c r="I4" s="4"/>
      <c r="P4" s="5"/>
      <c r="S4" t="s">
        <v>741</v>
      </c>
      <c r="T4" s="22">
        <f t="shared" si="0"/>
        <v>4144668.5845089001</v>
      </c>
      <c r="U4" s="22">
        <v>7.2374466699999997</v>
      </c>
      <c r="V4" s="22">
        <v>572670</v>
      </c>
      <c r="W4" s="3" t="str" cm="1">
        <f t="array" ref="W4">S4&amp;[1]!t_gs_num(T4/10000,2)&amp;"万元；"</f>
        <v>红星玻璃收到FORSPAK水泥厂借款414.47万元；</v>
      </c>
    </row>
    <row r="5" spans="1:23">
      <c r="A5" s="3" t="s">
        <v>31</v>
      </c>
      <c r="B5" s="3" t="s">
        <v>27</v>
      </c>
      <c r="C5" s="3" t="s">
        <v>28</v>
      </c>
      <c r="D5" s="3">
        <v>11004</v>
      </c>
      <c r="M5" s="5" t="str">
        <f>IF(N5="",M4,N5)</f>
        <v>拆分合并</v>
      </c>
      <c r="N5" s="3" t="s">
        <v>124</v>
      </c>
      <c r="O5" s="3" t="s">
        <v>125</v>
      </c>
      <c r="P5" s="5"/>
      <c r="S5" t="s">
        <v>742</v>
      </c>
      <c r="T5" s="22">
        <f t="shared" si="0"/>
        <v>1550000.6733828133</v>
      </c>
      <c r="U5" s="22">
        <v>7.2374466699999997</v>
      </c>
      <c r="V5" s="22">
        <v>214164.02</v>
      </c>
      <c r="W5" s="3" t="str" cm="1">
        <f t="array" ref="W5">S5&amp;[1]!t_gs_num(T5/10000,2)&amp;"万元；"</f>
        <v>硕海取得陕西海牛国际贸易有限公司借款（海途）155.00万元；</v>
      </c>
    </row>
    <row r="6" spans="1:23">
      <c r="A6" s="3" t="s">
        <v>32</v>
      </c>
      <c r="B6" s="3" t="s">
        <v>27</v>
      </c>
      <c r="C6" s="3" t="s">
        <v>28</v>
      </c>
      <c r="D6" s="3">
        <v>11005</v>
      </c>
      <c r="M6" s="5" t="str">
        <f>IF(N6="",M5,N6)</f>
        <v>拆分合并</v>
      </c>
      <c r="P6" s="5"/>
    </row>
    <row r="7" spans="1:23">
      <c r="A7" s="3" t="s">
        <v>33</v>
      </c>
      <c r="B7" s="3" t="s">
        <v>27</v>
      </c>
      <c r="C7" s="3" t="s">
        <v>28</v>
      </c>
      <c r="D7" s="3">
        <v>11006</v>
      </c>
    </row>
    <row r="8" spans="1:23">
      <c r="A8" s="3" t="s">
        <v>34</v>
      </c>
      <c r="B8" s="3" t="s">
        <v>27</v>
      </c>
      <c r="C8" s="3" t="s">
        <v>28</v>
      </c>
      <c r="D8" s="3">
        <v>11007</v>
      </c>
    </row>
    <row r="9" spans="1:23">
      <c r="A9" s="3" t="s">
        <v>35</v>
      </c>
      <c r="B9" s="3" t="s">
        <v>27</v>
      </c>
      <c r="C9" s="3" t="s">
        <v>28</v>
      </c>
      <c r="D9" s="3">
        <v>11008</v>
      </c>
    </row>
    <row r="10" spans="1:23">
      <c r="A10" s="3" t="s">
        <v>36</v>
      </c>
      <c r="B10" s="3" t="s">
        <v>27</v>
      </c>
      <c r="C10" s="3" t="s">
        <v>28</v>
      </c>
      <c r="D10" s="3">
        <v>11009</v>
      </c>
    </row>
    <row r="11" spans="1:23">
      <c r="A11" s="3" t="s">
        <v>37</v>
      </c>
      <c r="B11" s="3" t="s">
        <v>27</v>
      </c>
      <c r="C11" s="3" t="s">
        <v>28</v>
      </c>
      <c r="D11" s="3">
        <v>11010</v>
      </c>
    </row>
    <row r="12" spans="1:23">
      <c r="A12" s="3" t="s">
        <v>38</v>
      </c>
      <c r="B12" s="3" t="s">
        <v>27</v>
      </c>
      <c r="C12" s="3" t="s">
        <v>28</v>
      </c>
      <c r="D12" s="3">
        <v>11011</v>
      </c>
      <c r="E12" s="3" t="s">
        <v>39</v>
      </c>
    </row>
    <row r="13" spans="1:23">
      <c r="A13" s="3" t="s">
        <v>40</v>
      </c>
      <c r="B13" s="3" t="s">
        <v>27</v>
      </c>
      <c r="C13" s="3" t="s">
        <v>28</v>
      </c>
      <c r="D13" s="3">
        <v>11012</v>
      </c>
      <c r="E13" s="3" t="s">
        <v>41</v>
      </c>
    </row>
    <row r="14" spans="1:23">
      <c r="A14" s="3" t="s">
        <v>42</v>
      </c>
      <c r="B14" s="3" t="s">
        <v>43</v>
      </c>
      <c r="C14" s="3" t="s">
        <v>44</v>
      </c>
      <c r="D14" s="3">
        <v>21001</v>
      </c>
    </row>
    <row r="15" spans="1:23">
      <c r="A15" s="3" t="s">
        <v>45</v>
      </c>
      <c r="B15" s="3" t="s">
        <v>43</v>
      </c>
      <c r="C15" s="3" t="s">
        <v>44</v>
      </c>
      <c r="D15" s="3">
        <v>21002</v>
      </c>
    </row>
    <row r="16" spans="1:23">
      <c r="A16" s="3" t="s">
        <v>46</v>
      </c>
      <c r="B16" s="3" t="s">
        <v>43</v>
      </c>
      <c r="C16" s="3" t="s">
        <v>44</v>
      </c>
      <c r="D16" s="3">
        <v>21003</v>
      </c>
    </row>
    <row r="17" spans="1:5">
      <c r="A17" s="3" t="s">
        <v>47</v>
      </c>
      <c r="B17" s="3" t="s">
        <v>43</v>
      </c>
      <c r="C17" s="3" t="s">
        <v>44</v>
      </c>
      <c r="D17" s="3">
        <v>21004</v>
      </c>
    </row>
    <row r="18" spans="1:5">
      <c r="A18" s="3" t="s">
        <v>48</v>
      </c>
      <c r="B18" s="3" t="s">
        <v>43</v>
      </c>
      <c r="C18" s="3" t="s">
        <v>44</v>
      </c>
      <c r="D18" s="3">
        <v>21005</v>
      </c>
    </row>
    <row r="19" spans="1:5">
      <c r="A19" s="3" t="s">
        <v>49</v>
      </c>
      <c r="B19" s="3" t="s">
        <v>43</v>
      </c>
      <c r="C19" s="3" t="s">
        <v>44</v>
      </c>
      <c r="D19" s="3">
        <v>21006</v>
      </c>
    </row>
    <row r="20" spans="1:5">
      <c r="A20" s="3" t="s">
        <v>50</v>
      </c>
      <c r="B20" s="3" t="s">
        <v>43</v>
      </c>
      <c r="C20" s="3" t="s">
        <v>44</v>
      </c>
      <c r="D20" s="3">
        <v>21007</v>
      </c>
    </row>
    <row r="21" spans="1:5">
      <c r="A21" s="3" t="s">
        <v>51</v>
      </c>
      <c r="B21" s="3" t="s">
        <v>43</v>
      </c>
      <c r="C21" s="3" t="s">
        <v>44</v>
      </c>
      <c r="D21" s="3">
        <v>21008</v>
      </c>
    </row>
    <row r="22" spans="1:5">
      <c r="A22" s="3" t="s">
        <v>52</v>
      </c>
      <c r="B22" s="3" t="s">
        <v>43</v>
      </c>
      <c r="C22" s="3" t="s">
        <v>44</v>
      </c>
      <c r="D22" s="3">
        <v>21009</v>
      </c>
    </row>
    <row r="23" spans="1:5">
      <c r="A23" s="3" t="s">
        <v>53</v>
      </c>
      <c r="B23" s="3" t="s">
        <v>43</v>
      </c>
      <c r="C23" s="3" t="s">
        <v>44</v>
      </c>
      <c r="D23" s="3">
        <v>21010</v>
      </c>
      <c r="E23" s="3" t="s">
        <v>54</v>
      </c>
    </row>
    <row r="24" spans="1:5">
      <c r="A24" s="3" t="s">
        <v>55</v>
      </c>
      <c r="B24" s="3" t="s">
        <v>43</v>
      </c>
      <c r="C24" s="3" t="s">
        <v>56</v>
      </c>
      <c r="D24" s="3">
        <v>22001</v>
      </c>
    </row>
    <row r="25" spans="1:5">
      <c r="A25" s="3" t="s">
        <v>57</v>
      </c>
      <c r="B25" s="3" t="s">
        <v>43</v>
      </c>
      <c r="C25" s="3" t="s">
        <v>56</v>
      </c>
      <c r="D25" s="3">
        <v>22002</v>
      </c>
    </row>
    <row r="26" spans="1:5">
      <c r="A26" s="3" t="s">
        <v>58</v>
      </c>
      <c r="B26" s="3" t="s">
        <v>43</v>
      </c>
      <c r="C26" s="3" t="s">
        <v>56</v>
      </c>
      <c r="D26" s="3">
        <v>22003</v>
      </c>
    </row>
    <row r="27" spans="1:5">
      <c r="A27" s="3" t="s">
        <v>59</v>
      </c>
      <c r="B27" s="3" t="s">
        <v>43</v>
      </c>
      <c r="C27" s="3" t="s">
        <v>56</v>
      </c>
      <c r="D27" s="3">
        <v>22004</v>
      </c>
    </row>
    <row r="28" spans="1:5">
      <c r="A28" s="3" t="s">
        <v>60</v>
      </c>
      <c r="B28" s="3" t="s">
        <v>43</v>
      </c>
      <c r="C28" s="3" t="s">
        <v>56</v>
      </c>
      <c r="D28" s="3">
        <v>22005</v>
      </c>
    </row>
    <row r="29" spans="1:5">
      <c r="A29" s="3" t="s">
        <v>61</v>
      </c>
      <c r="B29" s="3" t="s">
        <v>43</v>
      </c>
      <c r="C29" s="3" t="s">
        <v>56</v>
      </c>
      <c r="D29" s="3">
        <v>22006</v>
      </c>
    </row>
    <row r="30" spans="1:5">
      <c r="A30" s="3" t="s">
        <v>62</v>
      </c>
      <c r="B30" s="3" t="s">
        <v>43</v>
      </c>
      <c r="C30" s="3" t="s">
        <v>56</v>
      </c>
      <c r="D30" s="3">
        <v>22007</v>
      </c>
    </row>
    <row r="31" spans="1:5">
      <c r="A31" s="3" t="s">
        <v>63</v>
      </c>
      <c r="B31" s="3" t="s">
        <v>43</v>
      </c>
      <c r="C31" s="3" t="s">
        <v>56</v>
      </c>
      <c r="D31" s="3">
        <v>22008</v>
      </c>
    </row>
    <row r="32" spans="1:5">
      <c r="A32" s="3" t="s">
        <v>64</v>
      </c>
      <c r="B32" s="3" t="s">
        <v>43</v>
      </c>
      <c r="C32" s="3" t="s">
        <v>56</v>
      </c>
      <c r="D32" s="3">
        <v>22009</v>
      </c>
    </row>
    <row r="33" spans="1:4">
      <c r="A33" s="3" t="s">
        <v>65</v>
      </c>
      <c r="B33" s="3" t="s">
        <v>43</v>
      </c>
      <c r="C33" s="3" t="s">
        <v>56</v>
      </c>
      <c r="D33" s="3">
        <v>22010</v>
      </c>
    </row>
    <row r="34" spans="1:4">
      <c r="A34" s="3" t="s">
        <v>66</v>
      </c>
      <c r="B34" s="3" t="s">
        <v>43</v>
      </c>
      <c r="C34" s="3" t="s">
        <v>56</v>
      </c>
      <c r="D34" s="3">
        <v>22011</v>
      </c>
    </row>
    <row r="35" spans="1:4">
      <c r="A35" s="3" t="s">
        <v>67</v>
      </c>
      <c r="B35" s="3" t="s">
        <v>43</v>
      </c>
      <c r="C35" s="3" t="s">
        <v>56</v>
      </c>
      <c r="D35" s="3">
        <v>22012</v>
      </c>
    </row>
    <row r="36" spans="1:4">
      <c r="A36" s="3" t="s">
        <v>68</v>
      </c>
      <c r="B36" s="3" t="s">
        <v>43</v>
      </c>
      <c r="C36" s="3" t="s">
        <v>56</v>
      </c>
      <c r="D36" s="3">
        <v>22013</v>
      </c>
    </row>
    <row r="37" spans="1:4">
      <c r="A37" s="3" t="s">
        <v>69</v>
      </c>
      <c r="B37" s="3" t="s">
        <v>43</v>
      </c>
      <c r="C37" s="3" t="s">
        <v>56</v>
      </c>
      <c r="D37" s="3">
        <v>22014</v>
      </c>
    </row>
    <row r="38" spans="1:4">
      <c r="A38" s="3" t="s">
        <v>70</v>
      </c>
      <c r="B38" s="3" t="s">
        <v>43</v>
      </c>
      <c r="C38" s="3" t="s">
        <v>56</v>
      </c>
      <c r="D38" s="3">
        <v>22015</v>
      </c>
    </row>
    <row r="39" spans="1:4">
      <c r="A39" s="3" t="s">
        <v>71</v>
      </c>
      <c r="B39" s="3" t="s">
        <v>43</v>
      </c>
      <c r="C39" s="3" t="s">
        <v>56</v>
      </c>
      <c r="D39" s="3">
        <v>22016</v>
      </c>
    </row>
    <row r="40" spans="1:4">
      <c r="A40" s="3" t="s">
        <v>72</v>
      </c>
      <c r="B40" s="3" t="s">
        <v>43</v>
      </c>
      <c r="C40" s="3" t="s">
        <v>56</v>
      </c>
      <c r="D40" s="3">
        <v>22017</v>
      </c>
    </row>
    <row r="41" spans="1:4">
      <c r="A41" s="3" t="s">
        <v>73</v>
      </c>
      <c r="B41" s="3" t="s">
        <v>43</v>
      </c>
      <c r="C41" s="3" t="s">
        <v>56</v>
      </c>
      <c r="D41" s="3">
        <v>22018</v>
      </c>
    </row>
    <row r="42" spans="1:4">
      <c r="A42" s="3" t="s">
        <v>74</v>
      </c>
      <c r="B42" s="3" t="s">
        <v>43</v>
      </c>
      <c r="C42" s="3" t="s">
        <v>56</v>
      </c>
      <c r="D42" s="3">
        <v>22019</v>
      </c>
    </row>
    <row r="43" spans="1:4">
      <c r="A43" s="3" t="s">
        <v>75</v>
      </c>
      <c r="B43" s="3" t="s">
        <v>43</v>
      </c>
      <c r="C43" s="3" t="s">
        <v>56</v>
      </c>
      <c r="D43" s="3">
        <v>22020</v>
      </c>
    </row>
    <row r="44" spans="1:4">
      <c r="A44" s="3" t="s">
        <v>76</v>
      </c>
      <c r="B44" s="3" t="s">
        <v>43</v>
      </c>
      <c r="C44" s="3" t="s">
        <v>56</v>
      </c>
      <c r="D44" s="3">
        <v>22021</v>
      </c>
    </row>
    <row r="45" spans="1:4">
      <c r="A45" s="3" t="s">
        <v>77</v>
      </c>
      <c r="B45" s="3" t="s">
        <v>43</v>
      </c>
      <c r="C45" s="3" t="s">
        <v>56</v>
      </c>
      <c r="D45" s="3">
        <v>22022</v>
      </c>
    </row>
    <row r="46" spans="1:4">
      <c r="A46" s="3" t="s">
        <v>78</v>
      </c>
      <c r="B46" s="3" t="s">
        <v>43</v>
      </c>
      <c r="C46" s="3" t="s">
        <v>56</v>
      </c>
      <c r="D46" s="3">
        <v>22023</v>
      </c>
    </row>
    <row r="47" spans="1:4">
      <c r="A47" s="3" t="s">
        <v>79</v>
      </c>
      <c r="B47" s="3" t="s">
        <v>43</v>
      </c>
      <c r="C47" s="3" t="s">
        <v>80</v>
      </c>
      <c r="D47" s="3">
        <v>23001</v>
      </c>
    </row>
    <row r="48" spans="1:4">
      <c r="A48" s="3" t="s">
        <v>81</v>
      </c>
      <c r="B48" s="3" t="s">
        <v>43</v>
      </c>
      <c r="C48" s="3" t="s">
        <v>80</v>
      </c>
      <c r="D48" s="3">
        <v>23002</v>
      </c>
    </row>
    <row r="49" spans="1:5">
      <c r="A49" s="3" t="s">
        <v>82</v>
      </c>
      <c r="B49" s="3" t="s">
        <v>43</v>
      </c>
      <c r="C49" s="3" t="s">
        <v>80</v>
      </c>
      <c r="D49" s="3">
        <v>23003</v>
      </c>
    </row>
    <row r="50" spans="1:5">
      <c r="A50" s="3" t="s">
        <v>83</v>
      </c>
      <c r="B50" s="3" t="s">
        <v>43</v>
      </c>
      <c r="C50" s="3" t="s">
        <v>80</v>
      </c>
      <c r="D50" s="3">
        <v>23004</v>
      </c>
    </row>
    <row r="51" spans="1:5">
      <c r="A51" s="3" t="s">
        <v>84</v>
      </c>
      <c r="B51" s="3" t="s">
        <v>43</v>
      </c>
      <c r="C51" s="3" t="s">
        <v>80</v>
      </c>
      <c r="D51" s="3">
        <v>23005</v>
      </c>
    </row>
    <row r="52" spans="1:5">
      <c r="A52" s="3" t="s">
        <v>85</v>
      </c>
      <c r="B52" s="3" t="s">
        <v>43</v>
      </c>
      <c r="C52" s="3" t="s">
        <v>80</v>
      </c>
      <c r="D52" s="3">
        <v>23006</v>
      </c>
    </row>
    <row r="53" spans="1:5">
      <c r="A53" s="3" t="s">
        <v>86</v>
      </c>
      <c r="B53" s="3" t="s">
        <v>43</v>
      </c>
      <c r="C53" s="3" t="s">
        <v>80</v>
      </c>
      <c r="D53" s="3">
        <v>23007</v>
      </c>
    </row>
    <row r="54" spans="1:5">
      <c r="A54" s="3" t="s">
        <v>87</v>
      </c>
      <c r="B54" s="3" t="s">
        <v>43</v>
      </c>
      <c r="C54" s="3" t="s">
        <v>80</v>
      </c>
      <c r="D54" s="3">
        <v>23008</v>
      </c>
    </row>
    <row r="55" spans="1:5">
      <c r="A55" s="3" t="s">
        <v>88</v>
      </c>
      <c r="B55" s="3" t="s">
        <v>43</v>
      </c>
      <c r="C55" s="3" t="s">
        <v>89</v>
      </c>
      <c r="D55" s="3">
        <v>24001</v>
      </c>
    </row>
    <row r="56" spans="1:5">
      <c r="A56" s="3" t="s">
        <v>90</v>
      </c>
      <c r="B56" s="3" t="s">
        <v>43</v>
      </c>
      <c r="C56" s="3" t="s">
        <v>89</v>
      </c>
      <c r="D56" s="3">
        <v>24002</v>
      </c>
    </row>
    <row r="57" spans="1:5">
      <c r="A57" s="3" t="s">
        <v>91</v>
      </c>
      <c r="B57" s="3" t="s">
        <v>43</v>
      </c>
      <c r="C57" s="3" t="s">
        <v>89</v>
      </c>
      <c r="D57" s="3">
        <v>24003</v>
      </c>
    </row>
    <row r="58" spans="1:5">
      <c r="A58" s="3" t="s">
        <v>92</v>
      </c>
      <c r="B58" s="3" t="s">
        <v>43</v>
      </c>
      <c r="C58" s="3" t="s">
        <v>89</v>
      </c>
      <c r="D58" s="3">
        <v>24004</v>
      </c>
    </row>
    <row r="59" spans="1:5">
      <c r="A59" s="3" t="s">
        <v>93</v>
      </c>
      <c r="B59" s="3" t="s">
        <v>43</v>
      </c>
      <c r="C59" s="3" t="s">
        <v>89</v>
      </c>
      <c r="D59" s="3">
        <v>24005</v>
      </c>
    </row>
    <row r="60" spans="1:5">
      <c r="A60" s="3" t="s">
        <v>94</v>
      </c>
      <c r="B60" s="3" t="s">
        <v>43</v>
      </c>
      <c r="C60" s="3" t="s">
        <v>89</v>
      </c>
      <c r="D60" s="3">
        <v>24006</v>
      </c>
    </row>
    <row r="61" spans="1:5">
      <c r="A61" s="3" t="s">
        <v>95</v>
      </c>
      <c r="B61" s="3" t="s">
        <v>43</v>
      </c>
      <c r="C61" s="3" t="s">
        <v>96</v>
      </c>
      <c r="D61" s="3">
        <v>25001</v>
      </c>
      <c r="E61" s="3" t="s">
        <v>97</v>
      </c>
    </row>
    <row r="62" spans="1:5">
      <c r="A62" s="3" t="s">
        <v>98</v>
      </c>
      <c r="B62" s="3" t="s">
        <v>99</v>
      </c>
      <c r="C62" s="3" t="s">
        <v>100</v>
      </c>
      <c r="D62" s="3">
        <v>31001</v>
      </c>
    </row>
    <row r="63" spans="1:5">
      <c r="A63" s="3" t="s">
        <v>101</v>
      </c>
      <c r="B63" s="3" t="s">
        <v>99</v>
      </c>
      <c r="C63" s="3" t="s">
        <v>100</v>
      </c>
      <c r="D63" s="3">
        <v>31002</v>
      </c>
    </row>
    <row r="64" spans="1:5">
      <c r="A64" s="3" t="s">
        <v>102</v>
      </c>
      <c r="B64" s="3" t="s">
        <v>99</v>
      </c>
      <c r="C64" s="3" t="s">
        <v>100</v>
      </c>
      <c r="D64" s="3">
        <v>31003</v>
      </c>
    </row>
    <row r="65" spans="1:4">
      <c r="A65" s="3" t="s">
        <v>103</v>
      </c>
      <c r="B65" s="3" t="s">
        <v>99</v>
      </c>
      <c r="C65" s="3" t="s">
        <v>100</v>
      </c>
      <c r="D65" s="3">
        <v>31004</v>
      </c>
    </row>
    <row r="66" spans="1:4">
      <c r="A66" s="3" t="s">
        <v>104</v>
      </c>
      <c r="B66" s="3" t="s">
        <v>99</v>
      </c>
      <c r="C66" s="3" t="s">
        <v>100</v>
      </c>
      <c r="D66" s="3">
        <v>31005</v>
      </c>
    </row>
    <row r="67" spans="1:4">
      <c r="A67" s="3" t="s">
        <v>105</v>
      </c>
      <c r="B67" s="3" t="s">
        <v>99</v>
      </c>
      <c r="C67" s="3" t="s">
        <v>100</v>
      </c>
      <c r="D67" s="3">
        <v>31006</v>
      </c>
    </row>
    <row r="68" spans="1:4">
      <c r="A68" s="3" t="s">
        <v>106</v>
      </c>
      <c r="B68" s="3" t="s">
        <v>99</v>
      </c>
      <c r="C68" s="3" t="s">
        <v>100</v>
      </c>
      <c r="D68" s="3">
        <v>31007</v>
      </c>
    </row>
    <row r="69" spans="1:4">
      <c r="A69" s="3" t="s">
        <v>107</v>
      </c>
      <c r="B69" s="3" t="s">
        <v>99</v>
      </c>
      <c r="C69" s="3" t="s">
        <v>108</v>
      </c>
      <c r="D69" s="3">
        <v>32001</v>
      </c>
    </row>
    <row r="70" spans="1:4">
      <c r="A70" s="3" t="s">
        <v>109</v>
      </c>
      <c r="B70" s="3" t="s">
        <v>99</v>
      </c>
      <c r="C70" s="3" t="s">
        <v>108</v>
      </c>
      <c r="D70" s="3">
        <v>32002</v>
      </c>
    </row>
    <row r="71" spans="1:4">
      <c r="A71" s="3" t="s">
        <v>110</v>
      </c>
      <c r="B71" s="3" t="s">
        <v>99</v>
      </c>
      <c r="C71" s="3" t="s">
        <v>80</v>
      </c>
      <c r="D71" s="3">
        <v>33001</v>
      </c>
    </row>
    <row r="72" spans="1:4">
      <c r="A72" s="3" t="s">
        <v>111</v>
      </c>
      <c r="B72" s="3" t="s">
        <v>99</v>
      </c>
      <c r="C72" s="3" t="s">
        <v>80</v>
      </c>
      <c r="D72" s="3">
        <v>33002</v>
      </c>
    </row>
    <row r="73" spans="1:4">
      <c r="A73" s="3" t="s">
        <v>112</v>
      </c>
      <c r="B73" s="3" t="s">
        <v>99</v>
      </c>
      <c r="C73" s="3" t="s">
        <v>80</v>
      </c>
      <c r="D73" s="3">
        <v>33003</v>
      </c>
    </row>
    <row r="74" spans="1:4">
      <c r="A74" s="3" t="s">
        <v>113</v>
      </c>
      <c r="B74" s="3" t="s">
        <v>99</v>
      </c>
      <c r="C74" s="3" t="s">
        <v>80</v>
      </c>
      <c r="D74" s="3">
        <v>33004</v>
      </c>
    </row>
    <row r="75" spans="1:4">
      <c r="A75" s="3" t="s">
        <v>114</v>
      </c>
      <c r="B75" s="3" t="s">
        <v>99</v>
      </c>
      <c r="C75" s="3" t="s">
        <v>80</v>
      </c>
      <c r="D75" s="3">
        <v>33005</v>
      </c>
    </row>
    <row r="76" spans="1:4">
      <c r="A76" s="3" t="s">
        <v>115</v>
      </c>
      <c r="B76" s="3" t="s">
        <v>99</v>
      </c>
      <c r="C76" s="3" t="s">
        <v>80</v>
      </c>
      <c r="D76" s="3">
        <v>33006</v>
      </c>
    </row>
    <row r="77" spans="1:4">
      <c r="A77" s="3" t="s">
        <v>116</v>
      </c>
      <c r="B77" s="3" t="s">
        <v>99</v>
      </c>
      <c r="C77" s="3" t="s">
        <v>117</v>
      </c>
      <c r="D77" s="3">
        <v>34001</v>
      </c>
    </row>
    <row r="78" spans="1:4">
      <c r="A78" s="3" t="s">
        <v>118</v>
      </c>
      <c r="B78" s="3" t="s">
        <v>99</v>
      </c>
      <c r="C78" s="3" t="s">
        <v>117</v>
      </c>
      <c r="D78" s="3">
        <v>34002</v>
      </c>
    </row>
  </sheetData>
  <autoFilter ref="A1:E77" xr:uid="{00000000-0009-0000-0000-000001000000}">
    <sortState xmlns:xlrd2="http://schemas.microsoft.com/office/spreadsheetml/2017/richdata2" ref="A2:E75">
      <sortCondition ref="D1:D74"/>
    </sortState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873AE-35B1-46A2-8099-E9A6CF464320}">
  <sheetPr codeName="Sheet10"/>
  <dimension ref="A1:A927"/>
  <sheetViews>
    <sheetView workbookViewId="0">
      <selection activeCell="E8" sqref="E8"/>
    </sheetView>
  </sheetViews>
  <sheetFormatPr defaultRowHeight="15"/>
  <cols>
    <col min="1" max="1" width="17.42578125" style="3" bestFit="1" customWidth="1"/>
    <col min="2" max="16384" width="9.140625" style="3"/>
  </cols>
  <sheetData>
    <row r="1" spans="1:1">
      <c r="A1" s="3" t="s">
        <v>550</v>
      </c>
    </row>
    <row r="2" spans="1:1">
      <c r="A2" s="3" t="s">
        <v>551</v>
      </c>
    </row>
    <row r="3" spans="1:1">
      <c r="A3" s="3" t="s">
        <v>550</v>
      </c>
    </row>
    <row r="4" spans="1:1">
      <c r="A4" s="3" t="s">
        <v>551</v>
      </c>
    </row>
    <row r="5" spans="1:1">
      <c r="A5" s="3" t="s">
        <v>552</v>
      </c>
    </row>
    <row r="6" spans="1:1">
      <c r="A6" s="3" t="s">
        <v>551</v>
      </c>
    </row>
    <row r="7" spans="1:1">
      <c r="A7" s="3" t="s">
        <v>553</v>
      </c>
    </row>
    <row r="8" spans="1:1">
      <c r="A8" s="3" t="s">
        <v>554</v>
      </c>
    </row>
    <row r="9" spans="1:1">
      <c r="A9" s="3" t="s">
        <v>555</v>
      </c>
    </row>
    <row r="10" spans="1:1">
      <c r="A10" s="3" t="s">
        <v>550</v>
      </c>
    </row>
    <row r="11" spans="1:1">
      <c r="A11" s="3" t="s">
        <v>556</v>
      </c>
    </row>
    <row r="12" spans="1:1">
      <c r="A12" s="3" t="s">
        <v>557</v>
      </c>
    </row>
    <row r="13" spans="1:1">
      <c r="A13" s="3" t="s">
        <v>550</v>
      </c>
    </row>
    <row r="14" spans="1:1">
      <c r="A14" s="3" t="s">
        <v>550</v>
      </c>
    </row>
    <row r="15" spans="1:1">
      <c r="A15" s="3" t="s">
        <v>558</v>
      </c>
    </row>
    <row r="16" spans="1:1">
      <c r="A16" s="3" t="s">
        <v>559</v>
      </c>
    </row>
    <row r="17" spans="1:1">
      <c r="A17" s="3" t="s">
        <v>556</v>
      </c>
    </row>
    <row r="18" spans="1:1">
      <c r="A18" s="3" t="s">
        <v>550</v>
      </c>
    </row>
    <row r="19" spans="1:1">
      <c r="A19" s="3" t="s">
        <v>559</v>
      </c>
    </row>
    <row r="20" spans="1:1">
      <c r="A20" s="3" t="s">
        <v>556</v>
      </c>
    </row>
    <row r="21" spans="1:1">
      <c r="A21" s="3" t="s">
        <v>560</v>
      </c>
    </row>
    <row r="22" spans="1:1">
      <c r="A22" s="3" t="s">
        <v>561</v>
      </c>
    </row>
    <row r="23" spans="1:1">
      <c r="A23" s="3" t="s">
        <v>562</v>
      </c>
    </row>
    <row r="24" spans="1:1">
      <c r="A24" s="3" t="s">
        <v>562</v>
      </c>
    </row>
    <row r="25" spans="1:1">
      <c r="A25" s="3" t="s">
        <v>562</v>
      </c>
    </row>
    <row r="26" spans="1:1">
      <c r="A26" s="3" t="s">
        <v>562</v>
      </c>
    </row>
    <row r="27" spans="1:1">
      <c r="A27" s="3" t="s">
        <v>562</v>
      </c>
    </row>
    <row r="28" spans="1:1">
      <c r="A28" s="3" t="s">
        <v>562</v>
      </c>
    </row>
    <row r="29" spans="1:1">
      <c r="A29" s="3" t="s">
        <v>561</v>
      </c>
    </row>
    <row r="30" spans="1:1">
      <c r="A30" s="3" t="s">
        <v>563</v>
      </c>
    </row>
    <row r="31" spans="1:1">
      <c r="A31" s="3" t="s">
        <v>563</v>
      </c>
    </row>
    <row r="32" spans="1:1">
      <c r="A32" s="3" t="s">
        <v>561</v>
      </c>
    </row>
    <row r="33" spans="1:1">
      <c r="A33" s="3" t="s">
        <v>552</v>
      </c>
    </row>
    <row r="34" spans="1:1">
      <c r="A34" s="3" t="s">
        <v>551</v>
      </c>
    </row>
    <row r="35" spans="1:1">
      <c r="A35" s="3" t="s">
        <v>564</v>
      </c>
    </row>
    <row r="36" spans="1:1">
      <c r="A36" s="3" t="s">
        <v>551</v>
      </c>
    </row>
    <row r="37" spans="1:1">
      <c r="A37" s="3" t="s">
        <v>553</v>
      </c>
    </row>
    <row r="38" spans="1:1">
      <c r="A38" s="3" t="s">
        <v>565</v>
      </c>
    </row>
    <row r="39" spans="1:1">
      <c r="A39" s="3" t="s">
        <v>559</v>
      </c>
    </row>
    <row r="40" spans="1:1">
      <c r="A40" s="3" t="s">
        <v>566</v>
      </c>
    </row>
    <row r="41" spans="1:1">
      <c r="A41" s="3" t="s">
        <v>553</v>
      </c>
    </row>
    <row r="42" spans="1:1">
      <c r="A42" s="3" t="s">
        <v>554</v>
      </c>
    </row>
    <row r="43" spans="1:1">
      <c r="A43" s="3" t="s">
        <v>567</v>
      </c>
    </row>
    <row r="44" spans="1:1">
      <c r="A44" s="3" t="s">
        <v>559</v>
      </c>
    </row>
    <row r="45" spans="1:1">
      <c r="A45" s="3" t="s">
        <v>555</v>
      </c>
    </row>
    <row r="46" spans="1:1">
      <c r="A46" s="3" t="s">
        <v>550</v>
      </c>
    </row>
    <row r="47" spans="1:1">
      <c r="A47" s="3" t="s">
        <v>564</v>
      </c>
    </row>
    <row r="48" spans="1:1">
      <c r="A48" s="3" t="s">
        <v>552</v>
      </c>
    </row>
    <row r="49" spans="1:1">
      <c r="A49" s="3" t="s">
        <v>564</v>
      </c>
    </row>
    <row r="50" spans="1:1">
      <c r="A50" s="3" t="s">
        <v>551</v>
      </c>
    </row>
    <row r="51" spans="1:1">
      <c r="A51" s="3" t="s">
        <v>564</v>
      </c>
    </row>
    <row r="52" spans="1:1">
      <c r="A52" s="3" t="s">
        <v>552</v>
      </c>
    </row>
    <row r="53" spans="1:1">
      <c r="A53" s="3" t="s">
        <v>551</v>
      </c>
    </row>
    <row r="54" spans="1:1">
      <c r="A54" s="3" t="s">
        <v>552</v>
      </c>
    </row>
    <row r="55" spans="1:1">
      <c r="A55" s="3" t="s">
        <v>551</v>
      </c>
    </row>
    <row r="56" spans="1:1">
      <c r="A56" s="3" t="s">
        <v>554</v>
      </c>
    </row>
    <row r="57" spans="1:1">
      <c r="A57" s="3" t="s">
        <v>567</v>
      </c>
    </row>
    <row r="58" spans="1:1">
      <c r="A58" s="3" t="s">
        <v>559</v>
      </c>
    </row>
    <row r="59" spans="1:1">
      <c r="A59" s="3" t="s">
        <v>567</v>
      </c>
    </row>
    <row r="60" spans="1:1">
      <c r="A60" s="3" t="s">
        <v>568</v>
      </c>
    </row>
    <row r="61" spans="1:1">
      <c r="A61" s="3" t="s">
        <v>554</v>
      </c>
    </row>
    <row r="62" spans="1:1">
      <c r="A62" s="3" t="s">
        <v>569</v>
      </c>
    </row>
    <row r="63" spans="1:1">
      <c r="A63" s="3" t="s">
        <v>552</v>
      </c>
    </row>
    <row r="64" spans="1:1">
      <c r="A64" s="3" t="s">
        <v>551</v>
      </c>
    </row>
    <row r="65" spans="1:1">
      <c r="A65" s="3" t="s">
        <v>550</v>
      </c>
    </row>
    <row r="66" spans="1:1">
      <c r="A66" s="3" t="s">
        <v>551</v>
      </c>
    </row>
    <row r="67" spans="1:1">
      <c r="A67" s="3" t="s">
        <v>550</v>
      </c>
    </row>
    <row r="68" spans="1:1">
      <c r="A68" s="3" t="s">
        <v>551</v>
      </c>
    </row>
    <row r="69" spans="1:1">
      <c r="A69" s="3" t="s">
        <v>551</v>
      </c>
    </row>
    <row r="70" spans="1:1">
      <c r="A70" s="3" t="s">
        <v>564</v>
      </c>
    </row>
    <row r="71" spans="1:1">
      <c r="A71" s="3" t="s">
        <v>551</v>
      </c>
    </row>
    <row r="72" spans="1:1">
      <c r="A72" s="3" t="s">
        <v>564</v>
      </c>
    </row>
    <row r="73" spans="1:1">
      <c r="A73" s="3" t="s">
        <v>570</v>
      </c>
    </row>
    <row r="74" spans="1:1">
      <c r="A74" s="3" t="s">
        <v>566</v>
      </c>
    </row>
    <row r="75" spans="1:1">
      <c r="A75" s="3" t="s">
        <v>551</v>
      </c>
    </row>
    <row r="76" spans="1:1">
      <c r="A76" s="3" t="s">
        <v>564</v>
      </c>
    </row>
    <row r="77" spans="1:1">
      <c r="A77" s="3" t="s">
        <v>551</v>
      </c>
    </row>
    <row r="78" spans="1:1">
      <c r="A78" s="3" t="s">
        <v>564</v>
      </c>
    </row>
    <row r="79" spans="1:1">
      <c r="A79" s="3" t="s">
        <v>571</v>
      </c>
    </row>
    <row r="80" spans="1:1">
      <c r="A80" s="3" t="s">
        <v>559</v>
      </c>
    </row>
    <row r="81" spans="1:1">
      <c r="A81" s="3" t="s">
        <v>572</v>
      </c>
    </row>
    <row r="82" spans="1:1">
      <c r="A82" s="3" t="s">
        <v>573</v>
      </c>
    </row>
    <row r="83" spans="1:1">
      <c r="A83" s="3" t="s">
        <v>574</v>
      </c>
    </row>
    <row r="84" spans="1:1">
      <c r="A84" s="3" t="s">
        <v>559</v>
      </c>
    </row>
    <row r="85" spans="1:1">
      <c r="A85" s="3" t="s">
        <v>557</v>
      </c>
    </row>
    <row r="86" spans="1:1">
      <c r="A86" s="3" t="s">
        <v>550</v>
      </c>
    </row>
    <row r="87" spans="1:1">
      <c r="A87" s="3" t="s">
        <v>559</v>
      </c>
    </row>
    <row r="88" spans="1:1">
      <c r="A88" s="3" t="s">
        <v>550</v>
      </c>
    </row>
    <row r="89" spans="1:1">
      <c r="A89" s="3" t="s">
        <v>559</v>
      </c>
    </row>
    <row r="90" spans="1:1">
      <c r="A90" s="3" t="s">
        <v>557</v>
      </c>
    </row>
    <row r="91" spans="1:1">
      <c r="A91" s="3" t="s">
        <v>559</v>
      </c>
    </row>
    <row r="92" spans="1:1">
      <c r="A92" s="3" t="s">
        <v>557</v>
      </c>
    </row>
    <row r="93" spans="1:1">
      <c r="A93" s="3" t="s">
        <v>559</v>
      </c>
    </row>
    <row r="94" spans="1:1">
      <c r="A94" s="3" t="s">
        <v>557</v>
      </c>
    </row>
    <row r="95" spans="1:1">
      <c r="A95" s="3" t="s">
        <v>559</v>
      </c>
    </row>
    <row r="96" spans="1:1">
      <c r="A96" s="3" t="s">
        <v>557</v>
      </c>
    </row>
    <row r="97" spans="1:1">
      <c r="A97" s="3" t="s">
        <v>559</v>
      </c>
    </row>
    <row r="98" spans="1:1">
      <c r="A98" s="3" t="s">
        <v>557</v>
      </c>
    </row>
    <row r="99" spans="1:1">
      <c r="A99" s="3" t="s">
        <v>559</v>
      </c>
    </row>
    <row r="100" spans="1:1">
      <c r="A100" s="3" t="s">
        <v>550</v>
      </c>
    </row>
    <row r="101" spans="1:1">
      <c r="A101" s="3" t="s">
        <v>550</v>
      </c>
    </row>
    <row r="102" spans="1:1">
      <c r="A102" s="3" t="s">
        <v>556</v>
      </c>
    </row>
    <row r="103" spans="1:1">
      <c r="A103" s="3" t="s">
        <v>551</v>
      </c>
    </row>
    <row r="104" spans="1:1">
      <c r="A104" s="3" t="s">
        <v>564</v>
      </c>
    </row>
    <row r="105" spans="1:1">
      <c r="A105" s="3" t="s">
        <v>553</v>
      </c>
    </row>
    <row r="106" spans="1:1">
      <c r="A106" s="3" t="s">
        <v>568</v>
      </c>
    </row>
    <row r="107" spans="1:1">
      <c r="A107" s="3" t="s">
        <v>557</v>
      </c>
    </row>
    <row r="108" spans="1:1">
      <c r="A108" s="3" t="s">
        <v>550</v>
      </c>
    </row>
    <row r="109" spans="1:1">
      <c r="A109" s="3" t="s">
        <v>562</v>
      </c>
    </row>
    <row r="110" spans="1:1">
      <c r="A110" s="3" t="s">
        <v>562</v>
      </c>
    </row>
    <row r="111" spans="1:1">
      <c r="A111" s="3" t="s">
        <v>550</v>
      </c>
    </row>
    <row r="112" spans="1:1">
      <c r="A112" s="3" t="s">
        <v>550</v>
      </c>
    </row>
    <row r="113" spans="1:1">
      <c r="A113" s="3" t="s">
        <v>559</v>
      </c>
    </row>
    <row r="114" spans="1:1">
      <c r="A114" s="3" t="s">
        <v>575</v>
      </c>
    </row>
    <row r="115" spans="1:1">
      <c r="A115" s="3" t="s">
        <v>551</v>
      </c>
    </row>
    <row r="116" spans="1:1">
      <c r="A116" s="3" t="s">
        <v>564</v>
      </c>
    </row>
    <row r="117" spans="1:1">
      <c r="A117" s="3" t="s">
        <v>564</v>
      </c>
    </row>
    <row r="118" spans="1:1">
      <c r="A118" s="3" t="s">
        <v>551</v>
      </c>
    </row>
    <row r="119" spans="1:1">
      <c r="A119" s="3" t="s">
        <v>576</v>
      </c>
    </row>
    <row r="120" spans="1:1">
      <c r="A120" s="3" t="s">
        <v>550</v>
      </c>
    </row>
    <row r="121" spans="1:1">
      <c r="A121" s="3" t="s">
        <v>567</v>
      </c>
    </row>
    <row r="122" spans="1:1">
      <c r="A122" s="3" t="s">
        <v>557</v>
      </c>
    </row>
    <row r="123" spans="1:1">
      <c r="A123" s="3" t="s">
        <v>577</v>
      </c>
    </row>
    <row r="124" spans="1:1">
      <c r="A124" s="3" t="s">
        <v>559</v>
      </c>
    </row>
    <row r="125" spans="1:1">
      <c r="A125" s="3" t="s">
        <v>556</v>
      </c>
    </row>
    <row r="126" spans="1:1">
      <c r="A126" s="3" t="s">
        <v>550</v>
      </c>
    </row>
    <row r="127" spans="1:1">
      <c r="A127" s="3" t="s">
        <v>550</v>
      </c>
    </row>
    <row r="128" spans="1:1">
      <c r="A128" s="3" t="s">
        <v>556</v>
      </c>
    </row>
    <row r="129" spans="1:1">
      <c r="A129" s="3" t="s">
        <v>578</v>
      </c>
    </row>
    <row r="130" spans="1:1">
      <c r="A130" s="3" t="s">
        <v>579</v>
      </c>
    </row>
    <row r="131" spans="1:1">
      <c r="A131" s="3" t="s">
        <v>578</v>
      </c>
    </row>
    <row r="132" spans="1:1">
      <c r="A132" s="3" t="s">
        <v>579</v>
      </c>
    </row>
    <row r="133" spans="1:1">
      <c r="A133" s="3" t="s">
        <v>564</v>
      </c>
    </row>
    <row r="134" spans="1:1">
      <c r="A134" s="3" t="s">
        <v>551</v>
      </c>
    </row>
    <row r="135" spans="1:1">
      <c r="A135" s="3" t="s">
        <v>578</v>
      </c>
    </row>
    <row r="136" spans="1:1">
      <c r="A136" s="3" t="s">
        <v>559</v>
      </c>
    </row>
    <row r="137" spans="1:1">
      <c r="A137" s="3" t="s">
        <v>570</v>
      </c>
    </row>
    <row r="138" spans="1:1">
      <c r="A138" s="3" t="s">
        <v>580</v>
      </c>
    </row>
    <row r="139" spans="1:1">
      <c r="A139" s="3" t="s">
        <v>552</v>
      </c>
    </row>
    <row r="140" spans="1:1">
      <c r="A140" s="3" t="s">
        <v>551</v>
      </c>
    </row>
    <row r="141" spans="1:1">
      <c r="A141" s="3" t="s">
        <v>571</v>
      </c>
    </row>
    <row r="142" spans="1:1">
      <c r="A142" s="3" t="s">
        <v>559</v>
      </c>
    </row>
    <row r="143" spans="1:1">
      <c r="A143" s="3" t="s">
        <v>581</v>
      </c>
    </row>
    <row r="144" spans="1:1">
      <c r="A144" s="3" t="s">
        <v>578</v>
      </c>
    </row>
    <row r="145" spans="1:1">
      <c r="A145" s="3" t="s">
        <v>579</v>
      </c>
    </row>
    <row r="146" spans="1:1">
      <c r="A146" s="3" t="s">
        <v>550</v>
      </c>
    </row>
    <row r="147" spans="1:1">
      <c r="A147" s="3" t="s">
        <v>559</v>
      </c>
    </row>
    <row r="148" spans="1:1">
      <c r="A148" s="3" t="s">
        <v>556</v>
      </c>
    </row>
    <row r="149" spans="1:1">
      <c r="A149" s="3" t="s">
        <v>582</v>
      </c>
    </row>
    <row r="150" spans="1:1">
      <c r="A150" s="3" t="s">
        <v>579</v>
      </c>
    </row>
    <row r="151" spans="1:1">
      <c r="A151" s="3" t="s">
        <v>575</v>
      </c>
    </row>
    <row r="152" spans="1:1">
      <c r="A152" s="3" t="s">
        <v>583</v>
      </c>
    </row>
    <row r="153" spans="1:1">
      <c r="A153" s="3" t="s">
        <v>584</v>
      </c>
    </row>
    <row r="154" spans="1:1">
      <c r="A154" s="3" t="s">
        <v>583</v>
      </c>
    </row>
    <row r="155" spans="1:1">
      <c r="A155" s="3" t="s">
        <v>557</v>
      </c>
    </row>
    <row r="156" spans="1:1">
      <c r="A156" s="3" t="s">
        <v>559</v>
      </c>
    </row>
    <row r="157" spans="1:1">
      <c r="A157" s="3" t="s">
        <v>570</v>
      </c>
    </row>
    <row r="158" spans="1:1">
      <c r="A158" s="3" t="s">
        <v>556</v>
      </c>
    </row>
    <row r="159" spans="1:1">
      <c r="A159" s="3" t="s">
        <v>573</v>
      </c>
    </row>
    <row r="160" spans="1:1">
      <c r="A160" s="3" t="s">
        <v>559</v>
      </c>
    </row>
    <row r="161" spans="1:1">
      <c r="A161" s="3" t="s">
        <v>585</v>
      </c>
    </row>
    <row r="162" spans="1:1">
      <c r="A162" s="3" t="s">
        <v>586</v>
      </c>
    </row>
    <row r="163" spans="1:1">
      <c r="A163" s="3" t="s">
        <v>559</v>
      </c>
    </row>
    <row r="164" spans="1:1">
      <c r="A164" s="3" t="s">
        <v>581</v>
      </c>
    </row>
    <row r="165" spans="1:1">
      <c r="A165" s="3" t="s">
        <v>586</v>
      </c>
    </row>
    <row r="166" spans="1:1">
      <c r="A166" s="3" t="s">
        <v>559</v>
      </c>
    </row>
    <row r="167" spans="1:1">
      <c r="A167" s="3" t="s">
        <v>581</v>
      </c>
    </row>
    <row r="168" spans="1:1">
      <c r="A168" s="3" t="s">
        <v>586</v>
      </c>
    </row>
    <row r="169" spans="1:1">
      <c r="A169" s="3" t="s">
        <v>559</v>
      </c>
    </row>
    <row r="170" spans="1:1">
      <c r="A170" s="3" t="s">
        <v>581</v>
      </c>
    </row>
    <row r="171" spans="1:1">
      <c r="A171" s="3" t="s">
        <v>587</v>
      </c>
    </row>
    <row r="172" spans="1:1">
      <c r="A172" s="3" t="s">
        <v>559</v>
      </c>
    </row>
    <row r="173" spans="1:1">
      <c r="A173" s="3" t="s">
        <v>588</v>
      </c>
    </row>
    <row r="174" spans="1:1">
      <c r="A174" s="3" t="s">
        <v>557</v>
      </c>
    </row>
    <row r="175" spans="1:1">
      <c r="A175" s="3" t="s">
        <v>551</v>
      </c>
    </row>
    <row r="176" spans="1:1">
      <c r="A176" s="3" t="s">
        <v>552</v>
      </c>
    </row>
    <row r="177" spans="1:1">
      <c r="A177" s="3" t="s">
        <v>551</v>
      </c>
    </row>
    <row r="178" spans="1:1">
      <c r="A178" s="3" t="s">
        <v>557</v>
      </c>
    </row>
    <row r="179" spans="1:1">
      <c r="A179" s="3" t="s">
        <v>552</v>
      </c>
    </row>
    <row r="180" spans="1:1">
      <c r="A180" s="3" t="s">
        <v>554</v>
      </c>
    </row>
    <row r="181" spans="1:1">
      <c r="A181" s="3" t="s">
        <v>575</v>
      </c>
    </row>
    <row r="182" spans="1:1">
      <c r="A182" s="3" t="s">
        <v>573</v>
      </c>
    </row>
    <row r="183" spans="1:1">
      <c r="A183" s="3" t="s">
        <v>589</v>
      </c>
    </row>
    <row r="184" spans="1:1">
      <c r="A184" s="3" t="s">
        <v>570</v>
      </c>
    </row>
    <row r="185" spans="1:1">
      <c r="A185" s="3" t="s">
        <v>590</v>
      </c>
    </row>
    <row r="186" spans="1:1">
      <c r="A186" s="3" t="s">
        <v>564</v>
      </c>
    </row>
    <row r="187" spans="1:1">
      <c r="A187" s="3" t="s">
        <v>551</v>
      </c>
    </row>
    <row r="188" spans="1:1">
      <c r="A188" s="3" t="s">
        <v>551</v>
      </c>
    </row>
    <row r="189" spans="1:1">
      <c r="A189" s="3" t="s">
        <v>552</v>
      </c>
    </row>
    <row r="190" spans="1:1">
      <c r="A190" s="3" t="s">
        <v>573</v>
      </c>
    </row>
    <row r="191" spans="1:1">
      <c r="A191" s="3" t="s">
        <v>550</v>
      </c>
    </row>
    <row r="192" spans="1:1">
      <c r="A192" s="3" t="s">
        <v>557</v>
      </c>
    </row>
    <row r="193" spans="1:1">
      <c r="A193" s="3" t="s">
        <v>575</v>
      </c>
    </row>
    <row r="194" spans="1:1">
      <c r="A194" s="3" t="s">
        <v>591</v>
      </c>
    </row>
    <row r="195" spans="1:1">
      <c r="A195" s="3" t="s">
        <v>592</v>
      </c>
    </row>
    <row r="196" spans="1:1">
      <c r="A196" s="3" t="s">
        <v>591</v>
      </c>
    </row>
    <row r="197" spans="1:1">
      <c r="A197" s="3" t="s">
        <v>593</v>
      </c>
    </row>
    <row r="198" spans="1:1">
      <c r="A198" s="3" t="s">
        <v>594</v>
      </c>
    </row>
    <row r="199" spans="1:1">
      <c r="A199" s="3" t="s">
        <v>595</v>
      </c>
    </row>
    <row r="200" spans="1:1">
      <c r="A200" s="3" t="s">
        <v>596</v>
      </c>
    </row>
    <row r="201" spans="1:1">
      <c r="A201" s="3" t="s">
        <v>597</v>
      </c>
    </row>
    <row r="202" spans="1:1">
      <c r="A202" s="3" t="s">
        <v>598</v>
      </c>
    </row>
    <row r="203" spans="1:1">
      <c r="A203" s="3" t="s">
        <v>599</v>
      </c>
    </row>
    <row r="204" spans="1:1">
      <c r="A204" s="3" t="s">
        <v>600</v>
      </c>
    </row>
    <row r="205" spans="1:1">
      <c r="A205" s="3" t="s">
        <v>601</v>
      </c>
    </row>
    <row r="206" spans="1:1">
      <c r="A206" s="3" t="s">
        <v>592</v>
      </c>
    </row>
    <row r="207" spans="1:1">
      <c r="A207" s="3" t="s">
        <v>602</v>
      </c>
    </row>
    <row r="208" spans="1:1">
      <c r="A208" s="3" t="s">
        <v>600</v>
      </c>
    </row>
    <row r="209" spans="1:1">
      <c r="A209" s="3" t="s">
        <v>603</v>
      </c>
    </row>
    <row r="210" spans="1:1">
      <c r="A210" s="3" t="s">
        <v>600</v>
      </c>
    </row>
    <row r="211" spans="1:1">
      <c r="A211" s="3" t="s">
        <v>602</v>
      </c>
    </row>
    <row r="212" spans="1:1">
      <c r="A212" s="3" t="s">
        <v>600</v>
      </c>
    </row>
    <row r="213" spans="1:1">
      <c r="A213" s="3" t="s">
        <v>602</v>
      </c>
    </row>
    <row r="214" spans="1:1">
      <c r="A214" s="3" t="s">
        <v>600</v>
      </c>
    </row>
    <row r="215" spans="1:1">
      <c r="A215" s="3" t="s">
        <v>552</v>
      </c>
    </row>
    <row r="216" spans="1:1">
      <c r="A216" s="3" t="s">
        <v>604</v>
      </c>
    </row>
    <row r="217" spans="1:1">
      <c r="A217" s="3" t="s">
        <v>573</v>
      </c>
    </row>
    <row r="218" spans="1:1">
      <c r="A218" s="3" t="s">
        <v>559</v>
      </c>
    </row>
    <row r="219" spans="1:1">
      <c r="A219" s="3" t="s">
        <v>605</v>
      </c>
    </row>
    <row r="220" spans="1:1">
      <c r="A220" s="3" t="s">
        <v>559</v>
      </c>
    </row>
    <row r="221" spans="1:1">
      <c r="A221" s="3" t="s">
        <v>562</v>
      </c>
    </row>
    <row r="222" spans="1:1">
      <c r="A222" s="3" t="s">
        <v>559</v>
      </c>
    </row>
    <row r="223" spans="1:1">
      <c r="A223" s="3" t="s">
        <v>562</v>
      </c>
    </row>
    <row r="224" spans="1:1">
      <c r="A224" s="3" t="s">
        <v>559</v>
      </c>
    </row>
    <row r="225" spans="1:1">
      <c r="A225" s="3" t="s">
        <v>550</v>
      </c>
    </row>
    <row r="226" spans="1:1">
      <c r="A226" s="3" t="s">
        <v>559</v>
      </c>
    </row>
    <row r="227" spans="1:1">
      <c r="A227" s="3" t="s">
        <v>550</v>
      </c>
    </row>
    <row r="228" spans="1:1">
      <c r="A228" s="3" t="s">
        <v>559</v>
      </c>
    </row>
    <row r="229" spans="1:1">
      <c r="A229" s="3" t="s">
        <v>550</v>
      </c>
    </row>
    <row r="230" spans="1:1">
      <c r="A230" s="3" t="s">
        <v>559</v>
      </c>
    </row>
    <row r="231" spans="1:1">
      <c r="A231" s="3" t="s">
        <v>550</v>
      </c>
    </row>
    <row r="232" spans="1:1">
      <c r="A232" s="3" t="s">
        <v>559</v>
      </c>
    </row>
    <row r="233" spans="1:1">
      <c r="A233" s="3" t="s">
        <v>557</v>
      </c>
    </row>
    <row r="234" spans="1:1">
      <c r="A234" s="3" t="s">
        <v>550</v>
      </c>
    </row>
    <row r="235" spans="1:1">
      <c r="A235" s="3" t="s">
        <v>559</v>
      </c>
    </row>
    <row r="236" spans="1:1">
      <c r="A236" s="3" t="s">
        <v>557</v>
      </c>
    </row>
    <row r="237" spans="1:1">
      <c r="A237" s="3" t="s">
        <v>575</v>
      </c>
    </row>
    <row r="238" spans="1:1">
      <c r="A238" s="3" t="s">
        <v>590</v>
      </c>
    </row>
    <row r="239" spans="1:1">
      <c r="A239" s="3" t="s">
        <v>570</v>
      </c>
    </row>
    <row r="240" spans="1:1">
      <c r="A240" s="3" t="s">
        <v>606</v>
      </c>
    </row>
    <row r="241" spans="1:1">
      <c r="A241" s="3" t="s">
        <v>559</v>
      </c>
    </row>
    <row r="242" spans="1:1">
      <c r="A242" s="3" t="s">
        <v>607</v>
      </c>
    </row>
    <row r="243" spans="1:1">
      <c r="A243" s="3" t="s">
        <v>600</v>
      </c>
    </row>
    <row r="244" spans="1:1">
      <c r="A244" s="3" t="s">
        <v>606</v>
      </c>
    </row>
    <row r="245" spans="1:1">
      <c r="A245" s="3" t="s">
        <v>559</v>
      </c>
    </row>
    <row r="246" spans="1:1">
      <c r="A246" s="3" t="s">
        <v>607</v>
      </c>
    </row>
    <row r="247" spans="1:1">
      <c r="A247" s="3" t="s">
        <v>600</v>
      </c>
    </row>
    <row r="248" spans="1:1">
      <c r="A248" s="3" t="s">
        <v>606</v>
      </c>
    </row>
    <row r="249" spans="1:1">
      <c r="A249" s="3" t="s">
        <v>600</v>
      </c>
    </row>
    <row r="250" spans="1:1">
      <c r="A250" s="3" t="s">
        <v>606</v>
      </c>
    </row>
    <row r="251" spans="1:1">
      <c r="A251" s="3" t="s">
        <v>559</v>
      </c>
    </row>
    <row r="252" spans="1:1">
      <c r="A252" s="3" t="s">
        <v>607</v>
      </c>
    </row>
    <row r="253" spans="1:1">
      <c r="A253" s="3" t="s">
        <v>600</v>
      </c>
    </row>
    <row r="254" spans="1:1">
      <c r="A254" s="3" t="s">
        <v>606</v>
      </c>
    </row>
    <row r="255" spans="1:1">
      <c r="A255" s="3" t="s">
        <v>559</v>
      </c>
    </row>
    <row r="256" spans="1:1">
      <c r="A256" s="3" t="s">
        <v>607</v>
      </c>
    </row>
    <row r="257" spans="1:1">
      <c r="A257" s="3" t="s">
        <v>600</v>
      </c>
    </row>
    <row r="258" spans="1:1">
      <c r="A258" s="3" t="s">
        <v>564</v>
      </c>
    </row>
    <row r="259" spans="1:1">
      <c r="A259" s="3" t="s">
        <v>551</v>
      </c>
    </row>
    <row r="260" spans="1:1">
      <c r="A260" s="3" t="s">
        <v>554</v>
      </c>
    </row>
    <row r="261" spans="1:1">
      <c r="A261" s="3" t="s">
        <v>582</v>
      </c>
    </row>
    <row r="262" spans="1:1">
      <c r="A262" s="3" t="s">
        <v>554</v>
      </c>
    </row>
    <row r="263" spans="1:1">
      <c r="A263" s="3" t="s">
        <v>608</v>
      </c>
    </row>
    <row r="264" spans="1:1">
      <c r="A264" s="3" t="s">
        <v>554</v>
      </c>
    </row>
    <row r="265" spans="1:1">
      <c r="A265" s="3" t="s">
        <v>582</v>
      </c>
    </row>
    <row r="266" spans="1:1">
      <c r="A266" s="3" t="s">
        <v>553</v>
      </c>
    </row>
    <row r="267" spans="1:1">
      <c r="A267" s="3" t="s">
        <v>565</v>
      </c>
    </row>
    <row r="268" spans="1:1">
      <c r="A268" s="3" t="s">
        <v>582</v>
      </c>
    </row>
    <row r="269" spans="1:1">
      <c r="A269" s="3" t="s">
        <v>554</v>
      </c>
    </row>
    <row r="270" spans="1:1">
      <c r="A270" s="3" t="s">
        <v>582</v>
      </c>
    </row>
    <row r="271" spans="1:1">
      <c r="A271" s="3" t="s">
        <v>553</v>
      </c>
    </row>
    <row r="272" spans="1:1">
      <c r="A272" s="3" t="s">
        <v>582</v>
      </c>
    </row>
    <row r="273" spans="1:1">
      <c r="A273" s="3" t="s">
        <v>565</v>
      </c>
    </row>
    <row r="274" spans="1:1">
      <c r="A274" s="3" t="s">
        <v>559</v>
      </c>
    </row>
    <row r="275" spans="1:1">
      <c r="A275" s="3" t="s">
        <v>553</v>
      </c>
    </row>
    <row r="276" spans="1:1">
      <c r="A276" s="3" t="s">
        <v>578</v>
      </c>
    </row>
    <row r="277" spans="1:1">
      <c r="A277" s="3" t="s">
        <v>575</v>
      </c>
    </row>
    <row r="278" spans="1:1">
      <c r="A278" s="3" t="s">
        <v>564</v>
      </c>
    </row>
    <row r="279" spans="1:1">
      <c r="A279" s="3" t="s">
        <v>551</v>
      </c>
    </row>
    <row r="280" spans="1:1">
      <c r="A280" s="3" t="s">
        <v>572</v>
      </c>
    </row>
    <row r="281" spans="1:1">
      <c r="A281" s="3" t="s">
        <v>570</v>
      </c>
    </row>
    <row r="282" spans="1:1">
      <c r="A282" s="3" t="s">
        <v>564</v>
      </c>
    </row>
    <row r="283" spans="1:1">
      <c r="A283" s="3" t="s">
        <v>551</v>
      </c>
    </row>
    <row r="284" spans="1:1">
      <c r="A284" s="3" t="s">
        <v>557</v>
      </c>
    </row>
    <row r="285" spans="1:1">
      <c r="A285" s="3" t="s">
        <v>559</v>
      </c>
    </row>
    <row r="286" spans="1:1">
      <c r="A286" s="3" t="s">
        <v>570</v>
      </c>
    </row>
    <row r="287" spans="1:1">
      <c r="A287" s="3" t="s">
        <v>609</v>
      </c>
    </row>
    <row r="288" spans="1:1">
      <c r="A288" s="3" t="s">
        <v>554</v>
      </c>
    </row>
    <row r="289" spans="1:1">
      <c r="A289" s="3" t="s">
        <v>582</v>
      </c>
    </row>
    <row r="290" spans="1:1">
      <c r="A290" s="3" t="s">
        <v>553</v>
      </c>
    </row>
    <row r="291" spans="1:1">
      <c r="A291" s="3" t="s">
        <v>565</v>
      </c>
    </row>
    <row r="292" spans="1:1">
      <c r="A292" s="3" t="s">
        <v>559</v>
      </c>
    </row>
    <row r="293" spans="1:1">
      <c r="A293" s="3" t="s">
        <v>609</v>
      </c>
    </row>
    <row r="294" spans="1:1">
      <c r="A294" s="3" t="s">
        <v>550</v>
      </c>
    </row>
    <row r="295" spans="1:1">
      <c r="A295" s="3" t="s">
        <v>559</v>
      </c>
    </row>
    <row r="296" spans="1:1">
      <c r="A296" s="3" t="s">
        <v>557</v>
      </c>
    </row>
    <row r="297" spans="1:1">
      <c r="A297" s="3" t="s">
        <v>557</v>
      </c>
    </row>
    <row r="298" spans="1:1">
      <c r="A298" s="3" t="s">
        <v>559</v>
      </c>
    </row>
    <row r="299" spans="1:1">
      <c r="A299" s="3" t="s">
        <v>557</v>
      </c>
    </row>
    <row r="300" spans="1:1">
      <c r="A300" s="3" t="s">
        <v>559</v>
      </c>
    </row>
    <row r="301" spans="1:1">
      <c r="A301" s="3" t="s">
        <v>557</v>
      </c>
    </row>
    <row r="302" spans="1:1">
      <c r="A302" s="3" t="s">
        <v>559</v>
      </c>
    </row>
    <row r="303" spans="1:1">
      <c r="A303" s="3" t="s">
        <v>557</v>
      </c>
    </row>
    <row r="304" spans="1:1">
      <c r="A304" s="3" t="s">
        <v>559</v>
      </c>
    </row>
    <row r="305" spans="1:1">
      <c r="A305" s="3" t="s">
        <v>557</v>
      </c>
    </row>
    <row r="306" spans="1:1">
      <c r="A306" s="3" t="s">
        <v>559</v>
      </c>
    </row>
    <row r="307" spans="1:1">
      <c r="A307" s="3" t="s">
        <v>557</v>
      </c>
    </row>
    <row r="308" spans="1:1">
      <c r="A308" s="3" t="s">
        <v>559</v>
      </c>
    </row>
    <row r="309" spans="1:1">
      <c r="A309" s="3" t="s">
        <v>609</v>
      </c>
    </row>
    <row r="310" spans="1:1">
      <c r="A310" s="3" t="s">
        <v>553</v>
      </c>
    </row>
    <row r="311" spans="1:1">
      <c r="A311" s="3" t="s">
        <v>565</v>
      </c>
    </row>
    <row r="312" spans="1:1">
      <c r="A312" s="3" t="s">
        <v>559</v>
      </c>
    </row>
    <row r="313" spans="1:1">
      <c r="A313" s="3" t="s">
        <v>609</v>
      </c>
    </row>
    <row r="314" spans="1:1">
      <c r="A314" s="3" t="s">
        <v>610</v>
      </c>
    </row>
    <row r="315" spans="1:1">
      <c r="A315" s="3" t="s">
        <v>559</v>
      </c>
    </row>
    <row r="316" spans="1:1">
      <c r="A316" s="3" t="s">
        <v>582</v>
      </c>
    </row>
    <row r="317" spans="1:1">
      <c r="A317" s="3" t="s">
        <v>553</v>
      </c>
    </row>
    <row r="318" spans="1:1">
      <c r="A318" s="3" t="s">
        <v>565</v>
      </c>
    </row>
    <row r="319" spans="1:1">
      <c r="A319" s="3" t="s">
        <v>559</v>
      </c>
    </row>
    <row r="320" spans="1:1">
      <c r="A320" s="3" t="s">
        <v>554</v>
      </c>
    </row>
    <row r="321" spans="1:1">
      <c r="A321" s="3" t="s">
        <v>582</v>
      </c>
    </row>
    <row r="322" spans="1:1">
      <c r="A322" s="3" t="s">
        <v>611</v>
      </c>
    </row>
    <row r="323" spans="1:1">
      <c r="A323" s="3" t="s">
        <v>559</v>
      </c>
    </row>
    <row r="324" spans="1:1">
      <c r="A324" s="3" t="s">
        <v>611</v>
      </c>
    </row>
    <row r="325" spans="1:1">
      <c r="A325" s="3" t="s">
        <v>559</v>
      </c>
    </row>
    <row r="326" spans="1:1">
      <c r="A326" s="3" t="s">
        <v>575</v>
      </c>
    </row>
    <row r="327" spans="1:1">
      <c r="A327" s="3" t="s">
        <v>612</v>
      </c>
    </row>
    <row r="328" spans="1:1">
      <c r="A328" s="3" t="s">
        <v>575</v>
      </c>
    </row>
    <row r="329" spans="1:1">
      <c r="A329" s="3" t="s">
        <v>557</v>
      </c>
    </row>
    <row r="330" spans="1:1">
      <c r="A330" s="3" t="s">
        <v>559</v>
      </c>
    </row>
    <row r="331" spans="1:1">
      <c r="A331" s="3" t="s">
        <v>557</v>
      </c>
    </row>
    <row r="332" spans="1:1">
      <c r="A332" s="3" t="s">
        <v>559</v>
      </c>
    </row>
    <row r="333" spans="1:1">
      <c r="A333" s="3" t="s">
        <v>557</v>
      </c>
    </row>
    <row r="334" spans="1:1">
      <c r="A334" s="3" t="s">
        <v>559</v>
      </c>
    </row>
    <row r="335" spans="1:1">
      <c r="A335" s="3" t="s">
        <v>557</v>
      </c>
    </row>
    <row r="336" spans="1:1">
      <c r="A336" s="3" t="s">
        <v>559</v>
      </c>
    </row>
    <row r="337" spans="1:1">
      <c r="A337" s="3" t="s">
        <v>557</v>
      </c>
    </row>
    <row r="338" spans="1:1">
      <c r="A338" s="3" t="s">
        <v>559</v>
      </c>
    </row>
    <row r="339" spans="1:1">
      <c r="A339" s="3" t="s">
        <v>613</v>
      </c>
    </row>
    <row r="340" spans="1:1">
      <c r="A340" s="3" t="s">
        <v>559</v>
      </c>
    </row>
    <row r="341" spans="1:1">
      <c r="A341" s="3" t="s">
        <v>613</v>
      </c>
    </row>
    <row r="342" spans="1:1">
      <c r="A342" s="3" t="s">
        <v>559</v>
      </c>
    </row>
    <row r="343" spans="1:1">
      <c r="A343" s="3" t="s">
        <v>578</v>
      </c>
    </row>
    <row r="344" spans="1:1">
      <c r="A344" s="3" t="s">
        <v>557</v>
      </c>
    </row>
    <row r="345" spans="1:1">
      <c r="A345" s="3" t="s">
        <v>559</v>
      </c>
    </row>
    <row r="346" spans="1:1">
      <c r="A346" s="3" t="s">
        <v>557</v>
      </c>
    </row>
    <row r="347" spans="1:1">
      <c r="A347" s="3" t="s">
        <v>559</v>
      </c>
    </row>
    <row r="348" spans="1:1">
      <c r="A348" s="3" t="s">
        <v>556</v>
      </c>
    </row>
    <row r="349" spans="1:1">
      <c r="A349" s="3" t="s">
        <v>564</v>
      </c>
    </row>
    <row r="350" spans="1:1">
      <c r="A350" s="3" t="s">
        <v>551</v>
      </c>
    </row>
    <row r="351" spans="1:1">
      <c r="A351" s="3" t="s">
        <v>600</v>
      </c>
    </row>
    <row r="352" spans="1:1">
      <c r="A352" s="3" t="s">
        <v>614</v>
      </c>
    </row>
    <row r="353" spans="1:1">
      <c r="A353" s="3" t="s">
        <v>553</v>
      </c>
    </row>
    <row r="354" spans="1:1">
      <c r="A354" s="3" t="s">
        <v>582</v>
      </c>
    </row>
    <row r="355" spans="1:1">
      <c r="A355" s="3" t="s">
        <v>554</v>
      </c>
    </row>
    <row r="356" spans="1:1">
      <c r="A356" s="3" t="s">
        <v>582</v>
      </c>
    </row>
    <row r="357" spans="1:1">
      <c r="A357" s="3" t="s">
        <v>615</v>
      </c>
    </row>
    <row r="358" spans="1:1">
      <c r="A358" s="3" t="s">
        <v>616</v>
      </c>
    </row>
    <row r="359" spans="1:1">
      <c r="A359" s="3" t="s">
        <v>557</v>
      </c>
    </row>
    <row r="360" spans="1:1">
      <c r="A360" s="3" t="s">
        <v>551</v>
      </c>
    </row>
    <row r="361" spans="1:1">
      <c r="A361" s="3" t="s">
        <v>617</v>
      </c>
    </row>
    <row r="362" spans="1:1">
      <c r="A362" s="3" t="s">
        <v>609</v>
      </c>
    </row>
    <row r="363" spans="1:1">
      <c r="A363" s="3" t="s">
        <v>564</v>
      </c>
    </row>
    <row r="364" spans="1:1">
      <c r="A364" s="3" t="s">
        <v>551</v>
      </c>
    </row>
    <row r="365" spans="1:1">
      <c r="A365" s="3" t="s">
        <v>557</v>
      </c>
    </row>
    <row r="366" spans="1:1">
      <c r="A366" s="3" t="s">
        <v>559</v>
      </c>
    </row>
    <row r="367" spans="1:1">
      <c r="A367" s="3" t="s">
        <v>577</v>
      </c>
    </row>
    <row r="368" spans="1:1">
      <c r="A368" s="3" t="s">
        <v>559</v>
      </c>
    </row>
    <row r="369" spans="1:1">
      <c r="A369" s="3" t="s">
        <v>557</v>
      </c>
    </row>
    <row r="370" spans="1:1">
      <c r="A370" s="3" t="s">
        <v>559</v>
      </c>
    </row>
    <row r="371" spans="1:1">
      <c r="A371" s="3" t="s">
        <v>557</v>
      </c>
    </row>
    <row r="372" spans="1:1">
      <c r="A372" s="3" t="s">
        <v>559</v>
      </c>
    </row>
    <row r="373" spans="1:1">
      <c r="A373" s="3" t="s">
        <v>557</v>
      </c>
    </row>
    <row r="374" spans="1:1">
      <c r="A374" s="3" t="s">
        <v>559</v>
      </c>
    </row>
    <row r="375" spans="1:1">
      <c r="A375" s="3" t="s">
        <v>557</v>
      </c>
    </row>
    <row r="376" spans="1:1">
      <c r="A376" s="3" t="s">
        <v>559</v>
      </c>
    </row>
    <row r="377" spans="1:1">
      <c r="A377" s="3" t="s">
        <v>556</v>
      </c>
    </row>
    <row r="378" spans="1:1">
      <c r="A378" s="3" t="s">
        <v>553</v>
      </c>
    </row>
    <row r="379" spans="1:1">
      <c r="A379" s="3" t="s">
        <v>565</v>
      </c>
    </row>
    <row r="380" spans="1:1">
      <c r="A380" s="3" t="s">
        <v>582</v>
      </c>
    </row>
    <row r="381" spans="1:1">
      <c r="A381" s="3" t="s">
        <v>618</v>
      </c>
    </row>
    <row r="382" spans="1:1">
      <c r="A382" s="3" t="s">
        <v>582</v>
      </c>
    </row>
    <row r="383" spans="1:1">
      <c r="A383" s="3" t="s">
        <v>553</v>
      </c>
    </row>
    <row r="384" spans="1:1">
      <c r="A384" s="3" t="s">
        <v>582</v>
      </c>
    </row>
    <row r="385" spans="1:1">
      <c r="A385" s="3" t="s">
        <v>553</v>
      </c>
    </row>
    <row r="386" spans="1:1">
      <c r="A386" s="3" t="s">
        <v>557</v>
      </c>
    </row>
    <row r="387" spans="1:1">
      <c r="A387" s="3" t="s">
        <v>559</v>
      </c>
    </row>
    <row r="388" spans="1:1">
      <c r="A388" s="3" t="s">
        <v>609</v>
      </c>
    </row>
    <row r="389" spans="1:1">
      <c r="A389" s="3" t="s">
        <v>564</v>
      </c>
    </row>
    <row r="390" spans="1:1">
      <c r="A390" s="3" t="s">
        <v>551</v>
      </c>
    </row>
    <row r="391" spans="1:1">
      <c r="A391" s="3" t="s">
        <v>557</v>
      </c>
    </row>
    <row r="392" spans="1:1">
      <c r="A392" s="3" t="s">
        <v>614</v>
      </c>
    </row>
    <row r="393" spans="1:1">
      <c r="A393" s="3" t="s">
        <v>619</v>
      </c>
    </row>
    <row r="394" spans="1:1">
      <c r="A394" s="3" t="s">
        <v>575</v>
      </c>
    </row>
    <row r="395" spans="1:1">
      <c r="A395" s="3" t="s">
        <v>611</v>
      </c>
    </row>
    <row r="396" spans="1:1">
      <c r="A396" s="3" t="s">
        <v>620</v>
      </c>
    </row>
    <row r="397" spans="1:1">
      <c r="A397" s="3" t="s">
        <v>611</v>
      </c>
    </row>
    <row r="398" spans="1:1">
      <c r="A398" s="3" t="s">
        <v>620</v>
      </c>
    </row>
    <row r="399" spans="1:1">
      <c r="A399" s="3" t="s">
        <v>606</v>
      </c>
    </row>
    <row r="400" spans="1:1">
      <c r="A400" s="3" t="s">
        <v>600</v>
      </c>
    </row>
    <row r="401" spans="1:1">
      <c r="A401" s="3" t="s">
        <v>602</v>
      </c>
    </row>
    <row r="402" spans="1:1">
      <c r="A402" s="3" t="s">
        <v>600</v>
      </c>
    </row>
    <row r="403" spans="1:1">
      <c r="A403" s="3" t="s">
        <v>558</v>
      </c>
    </row>
    <row r="404" spans="1:1">
      <c r="A404" s="3" t="s">
        <v>600</v>
      </c>
    </row>
    <row r="405" spans="1:1">
      <c r="A405" s="3" t="s">
        <v>600</v>
      </c>
    </row>
    <row r="406" spans="1:1">
      <c r="A406" s="3" t="s">
        <v>598</v>
      </c>
    </row>
    <row r="407" spans="1:1">
      <c r="A407" s="3" t="s">
        <v>600</v>
      </c>
    </row>
    <row r="408" spans="1:1">
      <c r="A408" s="3" t="s">
        <v>599</v>
      </c>
    </row>
    <row r="409" spans="1:1">
      <c r="A409" s="3" t="s">
        <v>558</v>
      </c>
    </row>
    <row r="410" spans="1:1">
      <c r="A410" s="3" t="s">
        <v>600</v>
      </c>
    </row>
    <row r="411" spans="1:1">
      <c r="A411" s="3" t="s">
        <v>598</v>
      </c>
    </row>
    <row r="412" spans="1:1">
      <c r="A412" s="3" t="s">
        <v>599</v>
      </c>
    </row>
    <row r="413" spans="1:1">
      <c r="A413" s="3" t="s">
        <v>600</v>
      </c>
    </row>
    <row r="414" spans="1:1">
      <c r="A414" s="3" t="s">
        <v>602</v>
      </c>
    </row>
    <row r="415" spans="1:1">
      <c r="A415" s="3" t="s">
        <v>559</v>
      </c>
    </row>
    <row r="416" spans="1:1">
      <c r="A416" s="3" t="s">
        <v>602</v>
      </c>
    </row>
    <row r="417" spans="1:1">
      <c r="A417" s="3" t="s">
        <v>559</v>
      </c>
    </row>
    <row r="418" spans="1:1">
      <c r="A418" s="3" t="s">
        <v>621</v>
      </c>
    </row>
    <row r="419" spans="1:1">
      <c r="A419" s="3" t="s">
        <v>618</v>
      </c>
    </row>
    <row r="420" spans="1:1">
      <c r="A420" s="3" t="s">
        <v>582</v>
      </c>
    </row>
    <row r="421" spans="1:1">
      <c r="A421" s="3" t="s">
        <v>622</v>
      </c>
    </row>
    <row r="422" spans="1:1">
      <c r="A422" s="3" t="s">
        <v>578</v>
      </c>
    </row>
    <row r="423" spans="1:1">
      <c r="A423" s="3" t="s">
        <v>578</v>
      </c>
    </row>
    <row r="424" spans="1:1">
      <c r="A424" s="3" t="s">
        <v>578</v>
      </c>
    </row>
    <row r="425" spans="1:1">
      <c r="A425" s="3" t="s">
        <v>584</v>
      </c>
    </row>
    <row r="426" spans="1:1">
      <c r="A426" s="3" t="s">
        <v>600</v>
      </c>
    </row>
    <row r="427" spans="1:1">
      <c r="A427" s="3" t="s">
        <v>583</v>
      </c>
    </row>
    <row r="428" spans="1:1">
      <c r="A428" s="3" t="s">
        <v>551</v>
      </c>
    </row>
    <row r="429" spans="1:1">
      <c r="A429" s="3" t="s">
        <v>578</v>
      </c>
    </row>
    <row r="430" spans="1:1">
      <c r="A430" s="3" t="s">
        <v>575</v>
      </c>
    </row>
    <row r="431" spans="1:1">
      <c r="A431" s="3" t="s">
        <v>557</v>
      </c>
    </row>
    <row r="432" spans="1:1">
      <c r="A432" s="3" t="s">
        <v>575</v>
      </c>
    </row>
    <row r="433" spans="1:1">
      <c r="A433" s="3" t="s">
        <v>553</v>
      </c>
    </row>
    <row r="434" spans="1:1">
      <c r="A434" s="3" t="s">
        <v>578</v>
      </c>
    </row>
    <row r="435" spans="1:1">
      <c r="A435" s="3" t="s">
        <v>550</v>
      </c>
    </row>
    <row r="436" spans="1:1">
      <c r="A436" s="3" t="s">
        <v>559</v>
      </c>
    </row>
    <row r="437" spans="1:1">
      <c r="A437" s="3" t="s">
        <v>573</v>
      </c>
    </row>
    <row r="438" spans="1:1">
      <c r="A438" s="3" t="s">
        <v>557</v>
      </c>
    </row>
    <row r="439" spans="1:1">
      <c r="A439" s="3" t="s">
        <v>575</v>
      </c>
    </row>
    <row r="440" spans="1:1">
      <c r="A440" s="3" t="s">
        <v>553</v>
      </c>
    </row>
    <row r="441" spans="1:1">
      <c r="A441" s="3" t="s">
        <v>623</v>
      </c>
    </row>
    <row r="442" spans="1:1">
      <c r="A442" s="3" t="s">
        <v>553</v>
      </c>
    </row>
    <row r="443" spans="1:1">
      <c r="A443" s="3" t="s">
        <v>623</v>
      </c>
    </row>
    <row r="444" spans="1:1">
      <c r="A444" s="3" t="s">
        <v>557</v>
      </c>
    </row>
    <row r="445" spans="1:1">
      <c r="A445" s="3" t="s">
        <v>570</v>
      </c>
    </row>
    <row r="446" spans="1:1">
      <c r="A446" s="3" t="s">
        <v>624</v>
      </c>
    </row>
    <row r="447" spans="1:1">
      <c r="A447" s="3" t="s">
        <v>553</v>
      </c>
    </row>
    <row r="448" spans="1:1">
      <c r="A448" s="3" t="s">
        <v>619</v>
      </c>
    </row>
    <row r="449" spans="1:1">
      <c r="A449" s="3" t="s">
        <v>617</v>
      </c>
    </row>
    <row r="450" spans="1:1">
      <c r="A450" s="3" t="s">
        <v>578</v>
      </c>
    </row>
    <row r="451" spans="1:1">
      <c r="A451" s="3" t="s">
        <v>557</v>
      </c>
    </row>
    <row r="452" spans="1:1">
      <c r="A452" s="3" t="s">
        <v>559</v>
      </c>
    </row>
    <row r="453" spans="1:1">
      <c r="A453" s="3" t="s">
        <v>617</v>
      </c>
    </row>
    <row r="454" spans="1:1">
      <c r="A454" s="3" t="s">
        <v>609</v>
      </c>
    </row>
    <row r="455" spans="1:1">
      <c r="A455" s="3" t="s">
        <v>557</v>
      </c>
    </row>
    <row r="456" spans="1:1">
      <c r="A456" s="3" t="s">
        <v>559</v>
      </c>
    </row>
    <row r="457" spans="1:1">
      <c r="A457" s="3" t="s">
        <v>570</v>
      </c>
    </row>
    <row r="458" spans="1:1">
      <c r="A458" s="3" t="s">
        <v>575</v>
      </c>
    </row>
    <row r="459" spans="1:1">
      <c r="A459" s="3" t="s">
        <v>625</v>
      </c>
    </row>
    <row r="460" spans="1:1">
      <c r="A460" s="3" t="s">
        <v>559</v>
      </c>
    </row>
    <row r="461" spans="1:1">
      <c r="A461" s="3" t="s">
        <v>585</v>
      </c>
    </row>
    <row r="462" spans="1:1">
      <c r="A462" s="3" t="s">
        <v>553</v>
      </c>
    </row>
    <row r="463" spans="1:1">
      <c r="A463" s="3" t="s">
        <v>575</v>
      </c>
    </row>
    <row r="464" spans="1:1">
      <c r="A464" s="3" t="s">
        <v>551</v>
      </c>
    </row>
    <row r="465" spans="1:1">
      <c r="A465" s="3" t="s">
        <v>564</v>
      </c>
    </row>
    <row r="466" spans="1:1">
      <c r="A466" s="3" t="s">
        <v>557</v>
      </c>
    </row>
    <row r="467" spans="1:1">
      <c r="A467" s="3" t="s">
        <v>559</v>
      </c>
    </row>
    <row r="468" spans="1:1">
      <c r="A468" s="3" t="s">
        <v>624</v>
      </c>
    </row>
    <row r="469" spans="1:1">
      <c r="A469" s="3" t="s">
        <v>611</v>
      </c>
    </row>
    <row r="470" spans="1:1">
      <c r="A470" s="3" t="s">
        <v>620</v>
      </c>
    </row>
    <row r="471" spans="1:1">
      <c r="A471" s="3" t="s">
        <v>611</v>
      </c>
    </row>
    <row r="472" spans="1:1">
      <c r="A472" s="3" t="s">
        <v>620</v>
      </c>
    </row>
    <row r="473" spans="1:1">
      <c r="A473" s="3" t="s">
        <v>557</v>
      </c>
    </row>
    <row r="474" spans="1:1">
      <c r="A474" s="3" t="s">
        <v>551</v>
      </c>
    </row>
    <row r="475" spans="1:1">
      <c r="A475" s="3" t="s">
        <v>615</v>
      </c>
    </row>
    <row r="476" spans="1:1">
      <c r="A476" s="3" t="s">
        <v>616</v>
      </c>
    </row>
    <row r="477" spans="1:1">
      <c r="A477" s="3" t="s">
        <v>606</v>
      </c>
    </row>
    <row r="478" spans="1:1">
      <c r="A478" s="3" t="s">
        <v>600</v>
      </c>
    </row>
    <row r="479" spans="1:1">
      <c r="A479" s="3" t="s">
        <v>559</v>
      </c>
    </row>
    <row r="480" spans="1:1">
      <c r="A480" s="3" t="s">
        <v>607</v>
      </c>
    </row>
    <row r="481" spans="1:1">
      <c r="A481" s="3" t="s">
        <v>593</v>
      </c>
    </row>
    <row r="482" spans="1:1">
      <c r="A482" s="3" t="s">
        <v>591</v>
      </c>
    </row>
    <row r="483" spans="1:1">
      <c r="A483" s="3" t="s">
        <v>595</v>
      </c>
    </row>
    <row r="484" spans="1:1">
      <c r="A484" s="3" t="s">
        <v>594</v>
      </c>
    </row>
    <row r="485" spans="1:1">
      <c r="A485" s="3" t="s">
        <v>601</v>
      </c>
    </row>
    <row r="486" spans="1:1">
      <c r="A486" s="3" t="s">
        <v>592</v>
      </c>
    </row>
    <row r="487" spans="1:1">
      <c r="A487" s="3" t="s">
        <v>598</v>
      </c>
    </row>
    <row r="488" spans="1:1">
      <c r="A488" s="3" t="s">
        <v>599</v>
      </c>
    </row>
    <row r="489" spans="1:1">
      <c r="A489" s="3" t="s">
        <v>600</v>
      </c>
    </row>
    <row r="490" spans="1:1">
      <c r="A490" s="3" t="s">
        <v>564</v>
      </c>
    </row>
    <row r="491" spans="1:1">
      <c r="A491" s="3" t="s">
        <v>551</v>
      </c>
    </row>
    <row r="492" spans="1:1">
      <c r="A492" s="3" t="s">
        <v>617</v>
      </c>
    </row>
    <row r="493" spans="1:1">
      <c r="A493" s="3" t="s">
        <v>609</v>
      </c>
    </row>
    <row r="494" spans="1:1">
      <c r="A494" s="3" t="s">
        <v>564</v>
      </c>
    </row>
    <row r="495" spans="1:1">
      <c r="A495" s="3" t="s">
        <v>551</v>
      </c>
    </row>
    <row r="496" spans="1:1">
      <c r="A496" s="3" t="s">
        <v>619</v>
      </c>
    </row>
    <row r="497" spans="1:1">
      <c r="A497" s="3" t="s">
        <v>617</v>
      </c>
    </row>
    <row r="498" spans="1:1">
      <c r="A498" s="3" t="s">
        <v>557</v>
      </c>
    </row>
    <row r="499" spans="1:1">
      <c r="A499" s="3" t="s">
        <v>609</v>
      </c>
    </row>
    <row r="500" spans="1:1">
      <c r="A500" s="3" t="s">
        <v>557</v>
      </c>
    </row>
    <row r="501" spans="1:1">
      <c r="A501" s="3" t="s">
        <v>559</v>
      </c>
    </row>
    <row r="502" spans="1:1">
      <c r="A502" s="3" t="s">
        <v>570</v>
      </c>
    </row>
    <row r="503" spans="1:1">
      <c r="A503" s="3" t="s">
        <v>575</v>
      </c>
    </row>
    <row r="504" spans="1:1">
      <c r="A504" s="3" t="s">
        <v>550</v>
      </c>
    </row>
    <row r="505" spans="1:1">
      <c r="A505" s="3" t="s">
        <v>557</v>
      </c>
    </row>
    <row r="506" spans="1:1">
      <c r="A506" s="3" t="s">
        <v>559</v>
      </c>
    </row>
    <row r="507" spans="1:1">
      <c r="A507" s="3" t="s">
        <v>619</v>
      </c>
    </row>
    <row r="508" spans="1:1">
      <c r="A508" s="3" t="s">
        <v>557</v>
      </c>
    </row>
    <row r="509" spans="1:1">
      <c r="A509" s="3" t="s">
        <v>559</v>
      </c>
    </row>
    <row r="510" spans="1:1">
      <c r="A510" s="3" t="s">
        <v>557</v>
      </c>
    </row>
    <row r="511" spans="1:1">
      <c r="A511" s="3" t="s">
        <v>559</v>
      </c>
    </row>
    <row r="512" spans="1:1">
      <c r="A512" s="3" t="s">
        <v>557</v>
      </c>
    </row>
    <row r="513" spans="1:1">
      <c r="A513" s="3" t="s">
        <v>559</v>
      </c>
    </row>
    <row r="514" spans="1:1">
      <c r="A514" s="3" t="s">
        <v>557</v>
      </c>
    </row>
    <row r="515" spans="1:1">
      <c r="A515" s="3" t="s">
        <v>559</v>
      </c>
    </row>
    <row r="516" spans="1:1">
      <c r="A516" s="3" t="s">
        <v>557</v>
      </c>
    </row>
    <row r="517" spans="1:1">
      <c r="A517" s="3" t="s">
        <v>559</v>
      </c>
    </row>
    <row r="518" spans="1:1">
      <c r="A518" s="3" t="s">
        <v>557</v>
      </c>
    </row>
    <row r="519" spans="1:1">
      <c r="A519" s="3" t="s">
        <v>559</v>
      </c>
    </row>
    <row r="520" spans="1:1">
      <c r="A520" s="3" t="s">
        <v>557</v>
      </c>
    </row>
    <row r="521" spans="1:1">
      <c r="A521" s="3" t="s">
        <v>559</v>
      </c>
    </row>
    <row r="522" spans="1:1">
      <c r="A522" s="3" t="s">
        <v>557</v>
      </c>
    </row>
    <row r="523" spans="1:1">
      <c r="A523" s="3" t="s">
        <v>559</v>
      </c>
    </row>
    <row r="524" spans="1:1">
      <c r="A524" s="3" t="s">
        <v>556</v>
      </c>
    </row>
    <row r="525" spans="1:1">
      <c r="A525" s="3" t="s">
        <v>626</v>
      </c>
    </row>
    <row r="526" spans="1:1">
      <c r="A526" s="3" t="s">
        <v>570</v>
      </c>
    </row>
    <row r="527" spans="1:1">
      <c r="A527" s="3" t="s">
        <v>557</v>
      </c>
    </row>
    <row r="528" spans="1:1">
      <c r="A528" s="3" t="s">
        <v>551</v>
      </c>
    </row>
    <row r="529" spans="1:1">
      <c r="A529" s="3" t="s">
        <v>598</v>
      </c>
    </row>
    <row r="530" spans="1:1">
      <c r="A530" s="3" t="s">
        <v>599</v>
      </c>
    </row>
    <row r="531" spans="1:1">
      <c r="A531" s="3" t="s">
        <v>600</v>
      </c>
    </row>
    <row r="532" spans="1:1">
      <c r="A532" s="3" t="s">
        <v>564</v>
      </c>
    </row>
    <row r="533" spans="1:1">
      <c r="A533" s="3" t="s">
        <v>551</v>
      </c>
    </row>
    <row r="534" spans="1:1">
      <c r="A534" s="3" t="s">
        <v>564</v>
      </c>
    </row>
    <row r="535" spans="1:1">
      <c r="A535" s="3" t="s">
        <v>551</v>
      </c>
    </row>
    <row r="536" spans="1:1">
      <c r="A536" s="3" t="s">
        <v>564</v>
      </c>
    </row>
    <row r="537" spans="1:1">
      <c r="A537" s="3" t="s">
        <v>614</v>
      </c>
    </row>
    <row r="538" spans="1:1">
      <c r="A538" s="3" t="s">
        <v>564</v>
      </c>
    </row>
    <row r="539" spans="1:1">
      <c r="A539" s="3" t="s">
        <v>551</v>
      </c>
    </row>
    <row r="540" spans="1:1">
      <c r="A540" s="3" t="s">
        <v>557</v>
      </c>
    </row>
    <row r="541" spans="1:1">
      <c r="A541" s="3" t="s">
        <v>551</v>
      </c>
    </row>
    <row r="542" spans="1:1">
      <c r="A542" s="3" t="s">
        <v>557</v>
      </c>
    </row>
    <row r="543" spans="1:1">
      <c r="A543" s="3" t="s">
        <v>551</v>
      </c>
    </row>
    <row r="544" spans="1:1">
      <c r="A544" s="3" t="s">
        <v>557</v>
      </c>
    </row>
    <row r="545" spans="1:1">
      <c r="A545" s="3" t="s">
        <v>551</v>
      </c>
    </row>
    <row r="546" spans="1:1">
      <c r="A546" s="3" t="s">
        <v>618</v>
      </c>
    </row>
    <row r="547" spans="1:1">
      <c r="A547" s="3" t="s">
        <v>622</v>
      </c>
    </row>
    <row r="548" spans="1:1">
      <c r="A548" s="3" t="s">
        <v>559</v>
      </c>
    </row>
    <row r="549" spans="1:1">
      <c r="A549" s="3" t="s">
        <v>582</v>
      </c>
    </row>
    <row r="550" spans="1:1">
      <c r="A550" s="3" t="s">
        <v>622</v>
      </c>
    </row>
    <row r="551" spans="1:1">
      <c r="A551" s="3" t="s">
        <v>580</v>
      </c>
    </row>
    <row r="552" spans="1:1">
      <c r="A552" s="3" t="s">
        <v>557</v>
      </c>
    </row>
    <row r="553" spans="1:1">
      <c r="A553" s="3" t="s">
        <v>559</v>
      </c>
    </row>
    <row r="554" spans="1:1">
      <c r="A554" s="3" t="s">
        <v>557</v>
      </c>
    </row>
    <row r="555" spans="1:1">
      <c r="A555" s="3" t="s">
        <v>559</v>
      </c>
    </row>
    <row r="556" spans="1:1">
      <c r="A556" s="3" t="s">
        <v>557</v>
      </c>
    </row>
    <row r="557" spans="1:1">
      <c r="A557" s="3" t="s">
        <v>557</v>
      </c>
    </row>
    <row r="558" spans="1:1">
      <c r="A558" s="3" t="s">
        <v>559</v>
      </c>
    </row>
    <row r="559" spans="1:1">
      <c r="A559" s="3" t="s">
        <v>570</v>
      </c>
    </row>
    <row r="560" spans="1:1">
      <c r="A560" s="3" t="s">
        <v>557</v>
      </c>
    </row>
    <row r="561" spans="1:1">
      <c r="A561" s="3" t="s">
        <v>559</v>
      </c>
    </row>
    <row r="562" spans="1:1">
      <c r="A562" s="3" t="s">
        <v>570</v>
      </c>
    </row>
    <row r="563" spans="1:1">
      <c r="A563" s="3" t="s">
        <v>557</v>
      </c>
    </row>
    <row r="564" spans="1:1">
      <c r="A564" s="3" t="s">
        <v>559</v>
      </c>
    </row>
    <row r="565" spans="1:1">
      <c r="A565" s="3" t="s">
        <v>553</v>
      </c>
    </row>
    <row r="566" spans="1:1">
      <c r="A566" s="3" t="s">
        <v>623</v>
      </c>
    </row>
    <row r="567" spans="1:1">
      <c r="A567" s="3" t="s">
        <v>553</v>
      </c>
    </row>
    <row r="568" spans="1:1">
      <c r="A568" s="3" t="s">
        <v>565</v>
      </c>
    </row>
    <row r="569" spans="1:1">
      <c r="A569" s="3" t="s">
        <v>582</v>
      </c>
    </row>
    <row r="570" spans="1:1">
      <c r="A570" s="3" t="s">
        <v>557</v>
      </c>
    </row>
    <row r="571" spans="1:1">
      <c r="A571" s="3" t="s">
        <v>624</v>
      </c>
    </row>
    <row r="572" spans="1:1">
      <c r="A572" s="3" t="s">
        <v>627</v>
      </c>
    </row>
    <row r="573" spans="1:1">
      <c r="A573" s="3" t="s">
        <v>614</v>
      </c>
    </row>
    <row r="574" spans="1:1">
      <c r="A574" s="3" t="s">
        <v>598</v>
      </c>
    </row>
    <row r="575" spans="1:1">
      <c r="A575" s="3" t="s">
        <v>599</v>
      </c>
    </row>
    <row r="576" spans="1:1">
      <c r="A576" s="3" t="s">
        <v>600</v>
      </c>
    </row>
    <row r="577" spans="1:1">
      <c r="A577" s="3" t="s">
        <v>553</v>
      </c>
    </row>
    <row r="578" spans="1:1">
      <c r="A578" s="3" t="s">
        <v>623</v>
      </c>
    </row>
    <row r="579" spans="1:1">
      <c r="A579" s="3" t="s">
        <v>572</v>
      </c>
    </row>
    <row r="580" spans="1:1">
      <c r="A580" s="3" t="s">
        <v>617</v>
      </c>
    </row>
    <row r="581" spans="1:1">
      <c r="A581" s="3" t="s">
        <v>609</v>
      </c>
    </row>
    <row r="582" spans="1:1">
      <c r="A582" s="3" t="s">
        <v>578</v>
      </c>
    </row>
    <row r="583" spans="1:1">
      <c r="A583" s="3" t="s">
        <v>622</v>
      </c>
    </row>
    <row r="584" spans="1:1">
      <c r="A584" s="3" t="s">
        <v>553</v>
      </c>
    </row>
    <row r="585" spans="1:1">
      <c r="A585" s="3" t="s">
        <v>628</v>
      </c>
    </row>
    <row r="586" spans="1:1">
      <c r="A586" s="3" t="s">
        <v>557</v>
      </c>
    </row>
    <row r="587" spans="1:1">
      <c r="A587" s="3" t="s">
        <v>559</v>
      </c>
    </row>
    <row r="588" spans="1:1">
      <c r="A588" s="3" t="s">
        <v>550</v>
      </c>
    </row>
    <row r="589" spans="1:1">
      <c r="A589" s="3" t="s">
        <v>559</v>
      </c>
    </row>
    <row r="590" spans="1:1">
      <c r="A590" s="3" t="s">
        <v>575</v>
      </c>
    </row>
    <row r="591" spans="1:1">
      <c r="A591" s="3" t="s">
        <v>557</v>
      </c>
    </row>
    <row r="592" spans="1:1">
      <c r="A592" s="3" t="s">
        <v>559</v>
      </c>
    </row>
    <row r="593" spans="1:1">
      <c r="A593" s="3" t="s">
        <v>629</v>
      </c>
    </row>
    <row r="594" spans="1:1">
      <c r="A594" s="3" t="s">
        <v>630</v>
      </c>
    </row>
    <row r="595" spans="1:1">
      <c r="A595" s="3" t="s">
        <v>631</v>
      </c>
    </row>
    <row r="596" spans="1:1">
      <c r="A596" s="3" t="s">
        <v>632</v>
      </c>
    </row>
    <row r="597" spans="1:1">
      <c r="A597" s="3" t="s">
        <v>633</v>
      </c>
    </row>
    <row r="598" spans="1:1">
      <c r="A598" s="3" t="s">
        <v>634</v>
      </c>
    </row>
    <row r="599" spans="1:1">
      <c r="A599" s="3" t="s">
        <v>635</v>
      </c>
    </row>
    <row r="600" spans="1:1">
      <c r="A600" s="3" t="s">
        <v>636</v>
      </c>
    </row>
    <row r="601" spans="1:1">
      <c r="A601" s="3" t="s">
        <v>637</v>
      </c>
    </row>
    <row r="602" spans="1:1">
      <c r="A602" s="3" t="s">
        <v>638</v>
      </c>
    </row>
    <row r="603" spans="1:1">
      <c r="A603" s="3" t="s">
        <v>639</v>
      </c>
    </row>
    <row r="604" spans="1:1">
      <c r="A604" s="3" t="s">
        <v>640</v>
      </c>
    </row>
    <row r="605" spans="1:1">
      <c r="A605" s="3" t="s">
        <v>641</v>
      </c>
    </row>
    <row r="606" spans="1:1">
      <c r="A606" s="3" t="s">
        <v>606</v>
      </c>
    </row>
    <row r="607" spans="1:1">
      <c r="A607" s="3" t="s">
        <v>558</v>
      </c>
    </row>
    <row r="608" spans="1:1">
      <c r="A608" s="3" t="s">
        <v>594</v>
      </c>
    </row>
    <row r="609" spans="1:1">
      <c r="A609" s="3" t="s">
        <v>591</v>
      </c>
    </row>
    <row r="610" spans="1:1">
      <c r="A610" s="3" t="s">
        <v>596</v>
      </c>
    </row>
    <row r="611" spans="1:1">
      <c r="A611" s="3" t="s">
        <v>601</v>
      </c>
    </row>
    <row r="612" spans="1:1">
      <c r="A612" s="3" t="s">
        <v>591</v>
      </c>
    </row>
    <row r="613" spans="1:1">
      <c r="A613" s="3" t="s">
        <v>593</v>
      </c>
    </row>
    <row r="614" spans="1:1">
      <c r="A614" s="3" t="s">
        <v>576</v>
      </c>
    </row>
    <row r="615" spans="1:1">
      <c r="A615" s="3" t="s">
        <v>559</v>
      </c>
    </row>
    <row r="616" spans="1:1">
      <c r="A616" s="3" t="s">
        <v>570</v>
      </c>
    </row>
    <row r="617" spans="1:1">
      <c r="A617" s="3" t="s">
        <v>578</v>
      </c>
    </row>
    <row r="618" spans="1:1">
      <c r="A618" s="3" t="s">
        <v>642</v>
      </c>
    </row>
    <row r="619" spans="1:1">
      <c r="A619" s="3" t="s">
        <v>557</v>
      </c>
    </row>
    <row r="620" spans="1:1">
      <c r="A620" s="3" t="s">
        <v>564</v>
      </c>
    </row>
    <row r="621" spans="1:1">
      <c r="A621" s="3" t="s">
        <v>557</v>
      </c>
    </row>
    <row r="622" spans="1:1">
      <c r="A622" s="3" t="s">
        <v>620</v>
      </c>
    </row>
    <row r="623" spans="1:1">
      <c r="A623" s="3" t="s">
        <v>557</v>
      </c>
    </row>
    <row r="624" spans="1:1">
      <c r="A624" s="3" t="s">
        <v>620</v>
      </c>
    </row>
    <row r="625" spans="1:1">
      <c r="A625" s="3" t="s">
        <v>557</v>
      </c>
    </row>
    <row r="626" spans="1:1">
      <c r="A626" s="3" t="s">
        <v>614</v>
      </c>
    </row>
    <row r="627" spans="1:1">
      <c r="A627" s="3" t="s">
        <v>557</v>
      </c>
    </row>
    <row r="628" spans="1:1">
      <c r="A628" s="3" t="s">
        <v>614</v>
      </c>
    </row>
    <row r="629" spans="1:1">
      <c r="A629" s="3" t="s">
        <v>611</v>
      </c>
    </row>
    <row r="630" spans="1:1">
      <c r="A630" s="3" t="s">
        <v>620</v>
      </c>
    </row>
    <row r="631" spans="1:1">
      <c r="A631" s="3" t="s">
        <v>600</v>
      </c>
    </row>
    <row r="632" spans="1:1">
      <c r="A632" s="3" t="s">
        <v>620</v>
      </c>
    </row>
    <row r="633" spans="1:1">
      <c r="A633" s="3" t="s">
        <v>615</v>
      </c>
    </row>
    <row r="634" spans="1:1">
      <c r="A634" s="3" t="s">
        <v>616</v>
      </c>
    </row>
    <row r="635" spans="1:1">
      <c r="A635" s="3" t="s">
        <v>643</v>
      </c>
    </row>
    <row r="636" spans="1:1">
      <c r="A636" s="3" t="s">
        <v>644</v>
      </c>
    </row>
    <row r="637" spans="1:1">
      <c r="A637" s="3" t="s">
        <v>616</v>
      </c>
    </row>
    <row r="638" spans="1:1">
      <c r="A638" s="3" t="s">
        <v>645</v>
      </c>
    </row>
    <row r="639" spans="1:1">
      <c r="A639" s="3" t="s">
        <v>645</v>
      </c>
    </row>
    <row r="640" spans="1:1">
      <c r="A640" s="3" t="s">
        <v>644</v>
      </c>
    </row>
    <row r="641" spans="1:1">
      <c r="A641" s="3" t="s">
        <v>597</v>
      </c>
    </row>
    <row r="642" spans="1:1">
      <c r="A642" s="3" t="s">
        <v>600</v>
      </c>
    </row>
    <row r="643" spans="1:1">
      <c r="A643" s="3" t="s">
        <v>597</v>
      </c>
    </row>
    <row r="644" spans="1:1">
      <c r="A644" s="3" t="s">
        <v>600</v>
      </c>
    </row>
    <row r="645" spans="1:1">
      <c r="A645" s="3" t="s">
        <v>578</v>
      </c>
    </row>
    <row r="646" spans="1:1">
      <c r="A646" s="3" t="s">
        <v>578</v>
      </c>
    </row>
    <row r="647" spans="1:1">
      <c r="A647" s="3" t="s">
        <v>578</v>
      </c>
    </row>
    <row r="648" spans="1:1">
      <c r="A648" s="3" t="s">
        <v>644</v>
      </c>
    </row>
    <row r="649" spans="1:1">
      <c r="A649" s="3" t="s">
        <v>598</v>
      </c>
    </row>
    <row r="650" spans="1:1">
      <c r="A650" s="3" t="s">
        <v>599</v>
      </c>
    </row>
    <row r="651" spans="1:1">
      <c r="A651" s="3" t="s">
        <v>600</v>
      </c>
    </row>
    <row r="652" spans="1:1">
      <c r="A652" s="3" t="s">
        <v>567</v>
      </c>
    </row>
    <row r="653" spans="1:1">
      <c r="A653" s="3" t="s">
        <v>553</v>
      </c>
    </row>
    <row r="654" spans="1:1">
      <c r="A654" s="3" t="s">
        <v>557</v>
      </c>
    </row>
    <row r="655" spans="1:1">
      <c r="A655" s="3" t="s">
        <v>559</v>
      </c>
    </row>
    <row r="656" spans="1:1">
      <c r="A656" s="3" t="s">
        <v>623</v>
      </c>
    </row>
    <row r="657" spans="1:1">
      <c r="A657" s="3" t="s">
        <v>553</v>
      </c>
    </row>
    <row r="658" spans="1:1">
      <c r="A658" s="3" t="s">
        <v>623</v>
      </c>
    </row>
    <row r="659" spans="1:1">
      <c r="A659" s="3" t="s">
        <v>619</v>
      </c>
    </row>
    <row r="660" spans="1:1">
      <c r="A660" s="3" t="s">
        <v>617</v>
      </c>
    </row>
    <row r="661" spans="1:1">
      <c r="A661" s="3" t="s">
        <v>609</v>
      </c>
    </row>
    <row r="662" spans="1:1">
      <c r="A662" s="3" t="s">
        <v>567</v>
      </c>
    </row>
    <row r="663" spans="1:1">
      <c r="A663" s="3" t="s">
        <v>553</v>
      </c>
    </row>
    <row r="664" spans="1:1">
      <c r="A664" s="3" t="s">
        <v>567</v>
      </c>
    </row>
    <row r="665" spans="1:1">
      <c r="A665" s="3" t="s">
        <v>559</v>
      </c>
    </row>
    <row r="666" spans="1:1">
      <c r="A666" s="3" t="s">
        <v>623</v>
      </c>
    </row>
    <row r="667" spans="1:1">
      <c r="A667" s="3" t="s">
        <v>646</v>
      </c>
    </row>
    <row r="668" spans="1:1">
      <c r="A668" s="3" t="s">
        <v>578</v>
      </c>
    </row>
    <row r="669" spans="1:1">
      <c r="A669" s="3" t="s">
        <v>557</v>
      </c>
    </row>
    <row r="670" spans="1:1">
      <c r="A670" s="3" t="s">
        <v>647</v>
      </c>
    </row>
    <row r="671" spans="1:1">
      <c r="A671" s="3" t="s">
        <v>553</v>
      </c>
    </row>
    <row r="672" spans="1:1">
      <c r="A672" s="3" t="s">
        <v>565</v>
      </c>
    </row>
    <row r="673" spans="1:1">
      <c r="A673" s="3" t="s">
        <v>567</v>
      </c>
    </row>
    <row r="674" spans="1:1">
      <c r="A674" s="3" t="s">
        <v>559</v>
      </c>
    </row>
    <row r="675" spans="1:1">
      <c r="A675" s="3" t="s">
        <v>648</v>
      </c>
    </row>
    <row r="676" spans="1:1">
      <c r="A676" s="3" t="s">
        <v>553</v>
      </c>
    </row>
    <row r="677" spans="1:1">
      <c r="A677" s="3" t="s">
        <v>565</v>
      </c>
    </row>
    <row r="678" spans="1:1">
      <c r="A678" s="3" t="s">
        <v>559</v>
      </c>
    </row>
    <row r="679" spans="1:1">
      <c r="A679" s="3" t="s">
        <v>618</v>
      </c>
    </row>
    <row r="680" spans="1:1">
      <c r="A680" s="3" t="s">
        <v>578</v>
      </c>
    </row>
    <row r="681" spans="1:1">
      <c r="A681" s="3" t="s">
        <v>622</v>
      </c>
    </row>
    <row r="682" spans="1:1">
      <c r="A682" s="3" t="s">
        <v>559</v>
      </c>
    </row>
    <row r="683" spans="1:1">
      <c r="A683" s="3" t="s">
        <v>578</v>
      </c>
    </row>
    <row r="684" spans="1:1">
      <c r="A684" s="3" t="s">
        <v>619</v>
      </c>
    </row>
    <row r="685" spans="1:1">
      <c r="A685" s="3" t="s">
        <v>617</v>
      </c>
    </row>
    <row r="686" spans="1:1">
      <c r="A686" s="3" t="s">
        <v>557</v>
      </c>
    </row>
    <row r="687" spans="1:1">
      <c r="A687" s="3" t="s">
        <v>559</v>
      </c>
    </row>
    <row r="688" spans="1:1">
      <c r="A688" s="3" t="s">
        <v>557</v>
      </c>
    </row>
    <row r="689" spans="1:1">
      <c r="A689" s="3" t="s">
        <v>586</v>
      </c>
    </row>
    <row r="690" spans="1:1">
      <c r="A690" s="3" t="s">
        <v>557</v>
      </c>
    </row>
    <row r="691" spans="1:1">
      <c r="A691" s="3" t="s">
        <v>566</v>
      </c>
    </row>
    <row r="692" spans="1:1">
      <c r="A692" s="3" t="s">
        <v>649</v>
      </c>
    </row>
    <row r="693" spans="1:1">
      <c r="A693" s="3" t="s">
        <v>612</v>
      </c>
    </row>
    <row r="694" spans="1:1">
      <c r="A694" s="3" t="s">
        <v>650</v>
      </c>
    </row>
    <row r="695" spans="1:1">
      <c r="A695" s="3" t="s">
        <v>612</v>
      </c>
    </row>
    <row r="696" spans="1:1">
      <c r="A696" s="3" t="s">
        <v>651</v>
      </c>
    </row>
    <row r="697" spans="1:1">
      <c r="A697" s="3" t="s">
        <v>612</v>
      </c>
    </row>
    <row r="698" spans="1:1">
      <c r="A698" s="3" t="s">
        <v>650</v>
      </c>
    </row>
    <row r="699" spans="1:1">
      <c r="A699" s="3" t="s">
        <v>612</v>
      </c>
    </row>
    <row r="700" spans="1:1">
      <c r="A700" s="3" t="s">
        <v>650</v>
      </c>
    </row>
    <row r="701" spans="1:1">
      <c r="A701" s="3" t="s">
        <v>612</v>
      </c>
    </row>
    <row r="702" spans="1:1">
      <c r="A702" s="3" t="s">
        <v>651</v>
      </c>
    </row>
    <row r="703" spans="1:1">
      <c r="A703" s="3" t="s">
        <v>612</v>
      </c>
    </row>
    <row r="704" spans="1:1">
      <c r="A704" s="3" t="s">
        <v>651</v>
      </c>
    </row>
    <row r="705" spans="1:1">
      <c r="A705" s="3" t="s">
        <v>612</v>
      </c>
    </row>
    <row r="706" spans="1:1">
      <c r="A706" s="3" t="s">
        <v>651</v>
      </c>
    </row>
    <row r="707" spans="1:1">
      <c r="A707" s="3" t="s">
        <v>612</v>
      </c>
    </row>
    <row r="708" spans="1:1">
      <c r="A708" s="3" t="s">
        <v>651</v>
      </c>
    </row>
    <row r="709" spans="1:1">
      <c r="A709" s="3" t="s">
        <v>612</v>
      </c>
    </row>
    <row r="710" spans="1:1">
      <c r="A710" s="3" t="s">
        <v>652</v>
      </c>
    </row>
    <row r="711" spans="1:1">
      <c r="A711" s="3" t="s">
        <v>653</v>
      </c>
    </row>
    <row r="712" spans="1:1">
      <c r="A712" s="3" t="s">
        <v>654</v>
      </c>
    </row>
    <row r="713" spans="1:1">
      <c r="A713" s="3" t="s">
        <v>655</v>
      </c>
    </row>
    <row r="714" spans="1:1">
      <c r="A714" s="3" t="s">
        <v>654</v>
      </c>
    </row>
    <row r="715" spans="1:1">
      <c r="A715" s="3" t="s">
        <v>653</v>
      </c>
    </row>
    <row r="716" spans="1:1">
      <c r="A716" s="3" t="s">
        <v>654</v>
      </c>
    </row>
    <row r="717" spans="1:1">
      <c r="A717" s="3" t="s">
        <v>655</v>
      </c>
    </row>
    <row r="718" spans="1:1">
      <c r="A718" s="3" t="s">
        <v>654</v>
      </c>
    </row>
    <row r="719" spans="1:1">
      <c r="A719" s="3" t="s">
        <v>655</v>
      </c>
    </row>
    <row r="720" spans="1:1">
      <c r="A720" s="3" t="s">
        <v>654</v>
      </c>
    </row>
    <row r="721" spans="1:1">
      <c r="A721" s="3" t="s">
        <v>655</v>
      </c>
    </row>
    <row r="722" spans="1:1">
      <c r="A722" s="3" t="s">
        <v>654</v>
      </c>
    </row>
    <row r="723" spans="1:1">
      <c r="A723" s="3" t="s">
        <v>653</v>
      </c>
    </row>
    <row r="724" spans="1:1">
      <c r="A724" s="3" t="s">
        <v>652</v>
      </c>
    </row>
    <row r="725" spans="1:1">
      <c r="A725" s="3" t="s">
        <v>653</v>
      </c>
    </row>
    <row r="726" spans="1:1">
      <c r="A726" s="3" t="s">
        <v>654</v>
      </c>
    </row>
    <row r="727" spans="1:1">
      <c r="A727" s="3" t="s">
        <v>553</v>
      </c>
    </row>
    <row r="728" spans="1:1">
      <c r="A728" s="3" t="s">
        <v>651</v>
      </c>
    </row>
    <row r="729" spans="1:1">
      <c r="A729" s="3" t="s">
        <v>612</v>
      </c>
    </row>
    <row r="730" spans="1:1">
      <c r="A730" s="3" t="s">
        <v>651</v>
      </c>
    </row>
    <row r="731" spans="1:1">
      <c r="A731" s="3" t="s">
        <v>612</v>
      </c>
    </row>
    <row r="732" spans="1:1">
      <c r="A732" s="3" t="s">
        <v>651</v>
      </c>
    </row>
    <row r="733" spans="1:1">
      <c r="A733" s="3" t="s">
        <v>612</v>
      </c>
    </row>
    <row r="734" spans="1:1">
      <c r="A734" s="3" t="s">
        <v>656</v>
      </c>
    </row>
    <row r="735" spans="1:1">
      <c r="A735" s="3" t="s">
        <v>612</v>
      </c>
    </row>
    <row r="736" spans="1:1">
      <c r="A736" s="3" t="s">
        <v>650</v>
      </c>
    </row>
    <row r="737" spans="1:1">
      <c r="A737" s="3" t="s">
        <v>612</v>
      </c>
    </row>
    <row r="738" spans="1:1">
      <c r="A738" s="3" t="s">
        <v>652</v>
      </c>
    </row>
    <row r="739" spans="1:1">
      <c r="A739" s="3" t="s">
        <v>653</v>
      </c>
    </row>
    <row r="740" spans="1:1">
      <c r="A740" s="3" t="s">
        <v>654</v>
      </c>
    </row>
    <row r="741" spans="1:1">
      <c r="A741" s="3" t="s">
        <v>655</v>
      </c>
    </row>
    <row r="742" spans="1:1">
      <c r="A742" s="3" t="s">
        <v>656</v>
      </c>
    </row>
    <row r="743" spans="1:1">
      <c r="A743" s="3" t="s">
        <v>612</v>
      </c>
    </row>
    <row r="744" spans="1:1">
      <c r="A744" s="3" t="s">
        <v>656</v>
      </c>
    </row>
    <row r="745" spans="1:1">
      <c r="A745" s="3" t="s">
        <v>612</v>
      </c>
    </row>
    <row r="746" spans="1:1">
      <c r="A746" s="3" t="s">
        <v>656</v>
      </c>
    </row>
    <row r="747" spans="1:1">
      <c r="A747" s="3" t="s">
        <v>612</v>
      </c>
    </row>
    <row r="748" spans="1:1">
      <c r="A748" s="3" t="s">
        <v>649</v>
      </c>
    </row>
    <row r="749" spans="1:1">
      <c r="A749" s="3" t="s">
        <v>612</v>
      </c>
    </row>
    <row r="750" spans="1:1">
      <c r="A750" s="3" t="s">
        <v>649</v>
      </c>
    </row>
    <row r="751" spans="1:1">
      <c r="A751" s="3" t="s">
        <v>612</v>
      </c>
    </row>
    <row r="752" spans="1:1">
      <c r="A752" s="3" t="s">
        <v>654</v>
      </c>
    </row>
    <row r="753" spans="1:1">
      <c r="A753" s="3" t="s">
        <v>655</v>
      </c>
    </row>
    <row r="754" spans="1:1">
      <c r="A754" s="3" t="s">
        <v>654</v>
      </c>
    </row>
    <row r="755" spans="1:1">
      <c r="A755" s="3" t="s">
        <v>657</v>
      </c>
    </row>
    <row r="756" spans="1:1">
      <c r="A756" s="3" t="s">
        <v>654</v>
      </c>
    </row>
    <row r="757" spans="1:1">
      <c r="A757" s="3" t="s">
        <v>655</v>
      </c>
    </row>
    <row r="758" spans="1:1">
      <c r="A758" s="3" t="s">
        <v>654</v>
      </c>
    </row>
    <row r="759" spans="1:1">
      <c r="A759" s="3" t="s">
        <v>655</v>
      </c>
    </row>
    <row r="760" spans="1:1">
      <c r="A760" s="3" t="s">
        <v>654</v>
      </c>
    </row>
    <row r="761" spans="1:1">
      <c r="A761" s="3" t="s">
        <v>553</v>
      </c>
    </row>
    <row r="762" spans="1:1">
      <c r="A762" s="3" t="s">
        <v>650</v>
      </c>
    </row>
    <row r="763" spans="1:1">
      <c r="A763" s="3" t="s">
        <v>612</v>
      </c>
    </row>
    <row r="764" spans="1:1">
      <c r="A764" s="3" t="s">
        <v>650</v>
      </c>
    </row>
    <row r="765" spans="1:1">
      <c r="A765" s="3" t="s">
        <v>612</v>
      </c>
    </row>
    <row r="766" spans="1:1">
      <c r="A766" s="3" t="s">
        <v>651</v>
      </c>
    </row>
    <row r="767" spans="1:1">
      <c r="A767" s="3" t="s">
        <v>612</v>
      </c>
    </row>
    <row r="768" spans="1:1">
      <c r="A768" s="3" t="s">
        <v>656</v>
      </c>
    </row>
    <row r="769" spans="1:1">
      <c r="A769" s="3" t="s">
        <v>612</v>
      </c>
    </row>
    <row r="770" spans="1:1">
      <c r="A770" s="3" t="s">
        <v>654</v>
      </c>
    </row>
    <row r="771" spans="1:1">
      <c r="A771" s="3" t="s">
        <v>655</v>
      </c>
    </row>
    <row r="772" spans="1:1">
      <c r="A772" s="3" t="s">
        <v>654</v>
      </c>
    </row>
    <row r="773" spans="1:1">
      <c r="A773" s="3" t="s">
        <v>657</v>
      </c>
    </row>
    <row r="774" spans="1:1">
      <c r="A774" s="3" t="s">
        <v>654</v>
      </c>
    </row>
    <row r="775" spans="1:1">
      <c r="A775" s="3" t="s">
        <v>655</v>
      </c>
    </row>
    <row r="776" spans="1:1">
      <c r="A776" s="3" t="s">
        <v>654</v>
      </c>
    </row>
    <row r="777" spans="1:1">
      <c r="A777" s="3" t="s">
        <v>655</v>
      </c>
    </row>
    <row r="778" spans="1:1">
      <c r="A778" s="3" t="s">
        <v>654</v>
      </c>
    </row>
    <row r="779" spans="1:1">
      <c r="A779" s="3" t="s">
        <v>653</v>
      </c>
    </row>
    <row r="780" spans="1:1">
      <c r="A780" s="3" t="s">
        <v>654</v>
      </c>
    </row>
    <row r="781" spans="1:1">
      <c r="A781" s="3" t="s">
        <v>553</v>
      </c>
    </row>
    <row r="782" spans="1:1">
      <c r="A782" s="3" t="s">
        <v>654</v>
      </c>
    </row>
    <row r="783" spans="1:1">
      <c r="A783" s="3" t="s">
        <v>657</v>
      </c>
    </row>
    <row r="784" spans="1:1">
      <c r="A784" s="3" t="s">
        <v>654</v>
      </c>
    </row>
    <row r="785" spans="1:1">
      <c r="A785" s="3" t="s">
        <v>655</v>
      </c>
    </row>
    <row r="786" spans="1:1">
      <c r="A786" s="3" t="s">
        <v>654</v>
      </c>
    </row>
    <row r="787" spans="1:1">
      <c r="A787" s="3" t="s">
        <v>653</v>
      </c>
    </row>
    <row r="788" spans="1:1">
      <c r="A788" s="3" t="s">
        <v>654</v>
      </c>
    </row>
    <row r="789" spans="1:1">
      <c r="A789" s="3" t="s">
        <v>655</v>
      </c>
    </row>
    <row r="790" spans="1:1">
      <c r="A790" s="3" t="s">
        <v>654</v>
      </c>
    </row>
    <row r="791" spans="1:1">
      <c r="A791" s="3" t="s">
        <v>655</v>
      </c>
    </row>
    <row r="792" spans="1:1">
      <c r="A792" s="3" t="s">
        <v>654</v>
      </c>
    </row>
    <row r="793" spans="1:1">
      <c r="A793" s="3" t="s">
        <v>655</v>
      </c>
    </row>
    <row r="794" spans="1:1">
      <c r="A794" s="3" t="s">
        <v>654</v>
      </c>
    </row>
    <row r="795" spans="1:1">
      <c r="A795" s="3" t="s">
        <v>653</v>
      </c>
    </row>
    <row r="796" spans="1:1">
      <c r="A796" s="3" t="s">
        <v>654</v>
      </c>
    </row>
    <row r="797" spans="1:1">
      <c r="A797" s="3" t="s">
        <v>653</v>
      </c>
    </row>
    <row r="798" spans="1:1">
      <c r="A798" s="3" t="s">
        <v>654</v>
      </c>
    </row>
    <row r="799" spans="1:1">
      <c r="A799" s="3" t="s">
        <v>655</v>
      </c>
    </row>
    <row r="800" spans="1:1">
      <c r="A800" s="3" t="s">
        <v>654</v>
      </c>
    </row>
    <row r="801" spans="1:1">
      <c r="A801" s="3" t="s">
        <v>657</v>
      </c>
    </row>
    <row r="802" spans="1:1">
      <c r="A802" s="3" t="s">
        <v>654</v>
      </c>
    </row>
    <row r="803" spans="1:1">
      <c r="A803" s="3" t="s">
        <v>655</v>
      </c>
    </row>
    <row r="804" spans="1:1">
      <c r="A804" s="3" t="s">
        <v>654</v>
      </c>
    </row>
    <row r="805" spans="1:1">
      <c r="A805" s="3" t="s">
        <v>655</v>
      </c>
    </row>
    <row r="806" spans="1:1">
      <c r="A806" s="3" t="s">
        <v>654</v>
      </c>
    </row>
    <row r="807" spans="1:1">
      <c r="A807" s="3" t="s">
        <v>553</v>
      </c>
    </row>
    <row r="808" spans="1:1">
      <c r="A808" s="3" t="s">
        <v>654</v>
      </c>
    </row>
    <row r="809" spans="1:1">
      <c r="A809" s="3" t="s">
        <v>655</v>
      </c>
    </row>
    <row r="810" spans="1:1">
      <c r="A810" s="3" t="s">
        <v>654</v>
      </c>
    </row>
    <row r="811" spans="1:1">
      <c r="A811" s="3" t="s">
        <v>653</v>
      </c>
    </row>
    <row r="812" spans="1:1">
      <c r="A812" s="3" t="s">
        <v>654</v>
      </c>
    </row>
    <row r="813" spans="1:1">
      <c r="A813" s="3" t="s">
        <v>657</v>
      </c>
    </row>
    <row r="814" spans="1:1">
      <c r="A814" s="3" t="s">
        <v>654</v>
      </c>
    </row>
    <row r="815" spans="1:1">
      <c r="A815" s="3" t="s">
        <v>655</v>
      </c>
    </row>
    <row r="816" spans="1:1">
      <c r="A816" s="3" t="s">
        <v>654</v>
      </c>
    </row>
    <row r="817" spans="1:1">
      <c r="A817" s="3" t="s">
        <v>655</v>
      </c>
    </row>
    <row r="818" spans="1:1">
      <c r="A818" s="3" t="s">
        <v>654</v>
      </c>
    </row>
    <row r="819" spans="1:1">
      <c r="A819" s="3" t="s">
        <v>655</v>
      </c>
    </row>
    <row r="820" spans="1:1">
      <c r="A820" s="3" t="s">
        <v>654</v>
      </c>
    </row>
    <row r="821" spans="1:1">
      <c r="A821" s="3" t="s">
        <v>655</v>
      </c>
    </row>
    <row r="822" spans="1:1">
      <c r="A822" s="3" t="s">
        <v>654</v>
      </c>
    </row>
    <row r="823" spans="1:1">
      <c r="A823" s="3" t="s">
        <v>653</v>
      </c>
    </row>
    <row r="824" spans="1:1">
      <c r="A824" s="3" t="s">
        <v>654</v>
      </c>
    </row>
    <row r="825" spans="1:1">
      <c r="A825" s="3" t="s">
        <v>655</v>
      </c>
    </row>
    <row r="826" spans="1:1">
      <c r="A826" s="3" t="s">
        <v>654</v>
      </c>
    </row>
    <row r="827" spans="1:1">
      <c r="A827" s="3" t="s">
        <v>553</v>
      </c>
    </row>
    <row r="828" spans="1:1">
      <c r="A828" s="3" t="s">
        <v>654</v>
      </c>
    </row>
    <row r="829" spans="1:1">
      <c r="A829" s="3" t="s">
        <v>655</v>
      </c>
    </row>
    <row r="830" spans="1:1">
      <c r="A830" s="3" t="s">
        <v>654</v>
      </c>
    </row>
    <row r="831" spans="1:1">
      <c r="A831" s="3" t="s">
        <v>655</v>
      </c>
    </row>
    <row r="832" spans="1:1">
      <c r="A832" s="3" t="s">
        <v>654</v>
      </c>
    </row>
    <row r="833" spans="1:1">
      <c r="A833" s="3" t="s">
        <v>655</v>
      </c>
    </row>
    <row r="834" spans="1:1">
      <c r="A834" s="3" t="s">
        <v>654</v>
      </c>
    </row>
    <row r="835" spans="1:1">
      <c r="A835" s="3" t="s">
        <v>655</v>
      </c>
    </row>
    <row r="836" spans="1:1">
      <c r="A836" s="3" t="s">
        <v>650</v>
      </c>
    </row>
    <row r="837" spans="1:1">
      <c r="A837" s="3" t="s">
        <v>612</v>
      </c>
    </row>
    <row r="838" spans="1:1">
      <c r="A838" s="3" t="s">
        <v>654</v>
      </c>
    </row>
    <row r="839" spans="1:1">
      <c r="A839" s="3" t="s">
        <v>653</v>
      </c>
    </row>
    <row r="840" spans="1:1">
      <c r="A840" s="3" t="s">
        <v>654</v>
      </c>
    </row>
    <row r="841" spans="1:1">
      <c r="A841" s="3" t="s">
        <v>553</v>
      </c>
    </row>
    <row r="842" spans="1:1">
      <c r="A842" s="3" t="s">
        <v>650</v>
      </c>
    </row>
    <row r="843" spans="1:1">
      <c r="A843" s="3" t="s">
        <v>612</v>
      </c>
    </row>
    <row r="844" spans="1:1">
      <c r="A844" s="3" t="s">
        <v>654</v>
      </c>
    </row>
    <row r="845" spans="1:1">
      <c r="A845" s="3" t="s">
        <v>655</v>
      </c>
    </row>
    <row r="846" spans="1:1">
      <c r="A846" s="3" t="s">
        <v>654</v>
      </c>
    </row>
    <row r="847" spans="1:1">
      <c r="A847" s="3" t="s">
        <v>655</v>
      </c>
    </row>
    <row r="848" spans="1:1">
      <c r="A848" s="3" t="s">
        <v>654</v>
      </c>
    </row>
    <row r="849" spans="1:1">
      <c r="A849" s="3" t="s">
        <v>655</v>
      </c>
    </row>
    <row r="850" spans="1:1">
      <c r="A850" s="3" t="s">
        <v>654</v>
      </c>
    </row>
    <row r="851" spans="1:1">
      <c r="A851" s="3" t="s">
        <v>655</v>
      </c>
    </row>
    <row r="852" spans="1:1">
      <c r="A852" s="3" t="s">
        <v>650</v>
      </c>
    </row>
    <row r="853" spans="1:1">
      <c r="A853" s="3" t="s">
        <v>612</v>
      </c>
    </row>
    <row r="854" spans="1:1">
      <c r="A854" s="3" t="s">
        <v>654</v>
      </c>
    </row>
    <row r="855" spans="1:1">
      <c r="A855" s="3" t="s">
        <v>655</v>
      </c>
    </row>
    <row r="856" spans="1:1">
      <c r="A856" s="3" t="s">
        <v>654</v>
      </c>
    </row>
    <row r="857" spans="1:1">
      <c r="A857" s="3" t="s">
        <v>655</v>
      </c>
    </row>
    <row r="858" spans="1:1">
      <c r="A858" s="3" t="s">
        <v>654</v>
      </c>
    </row>
    <row r="859" spans="1:1">
      <c r="A859" s="3" t="s">
        <v>553</v>
      </c>
    </row>
    <row r="860" spans="1:1">
      <c r="A860" s="3" t="s">
        <v>654</v>
      </c>
    </row>
    <row r="861" spans="1:1">
      <c r="A861" s="3" t="s">
        <v>655</v>
      </c>
    </row>
    <row r="862" spans="1:1">
      <c r="A862" s="3" t="s">
        <v>654</v>
      </c>
    </row>
    <row r="863" spans="1:1">
      <c r="A863" s="3" t="s">
        <v>655</v>
      </c>
    </row>
    <row r="864" spans="1:1">
      <c r="A864" s="3" t="s">
        <v>652</v>
      </c>
    </row>
    <row r="865" spans="1:1">
      <c r="A865" s="3" t="s">
        <v>658</v>
      </c>
    </row>
    <row r="866" spans="1:1">
      <c r="A866" s="3" t="s">
        <v>652</v>
      </c>
    </row>
    <row r="867" spans="1:1">
      <c r="A867" s="3" t="s">
        <v>658</v>
      </c>
    </row>
    <row r="868" spans="1:1">
      <c r="A868" s="3" t="s">
        <v>654</v>
      </c>
    </row>
    <row r="869" spans="1:1">
      <c r="A869" s="3" t="s">
        <v>655</v>
      </c>
    </row>
    <row r="870" spans="1:1">
      <c r="A870" s="3" t="s">
        <v>654</v>
      </c>
    </row>
    <row r="871" spans="1:1">
      <c r="A871" s="3" t="s">
        <v>553</v>
      </c>
    </row>
    <row r="872" spans="1:1">
      <c r="A872" s="3" t="s">
        <v>654</v>
      </c>
    </row>
    <row r="873" spans="1:1">
      <c r="A873" s="3" t="s">
        <v>655</v>
      </c>
    </row>
    <row r="874" spans="1:1">
      <c r="A874" s="3" t="s">
        <v>654</v>
      </c>
    </row>
    <row r="875" spans="1:1">
      <c r="A875" s="3" t="s">
        <v>653</v>
      </c>
    </row>
    <row r="876" spans="1:1">
      <c r="A876" s="3" t="s">
        <v>650</v>
      </c>
    </row>
    <row r="877" spans="1:1">
      <c r="A877" s="3" t="s">
        <v>612</v>
      </c>
    </row>
    <row r="878" spans="1:1">
      <c r="A878" s="3" t="s">
        <v>652</v>
      </c>
    </row>
    <row r="879" spans="1:1">
      <c r="A879" s="3" t="s">
        <v>658</v>
      </c>
    </row>
    <row r="880" spans="1:1">
      <c r="A880" s="3" t="s">
        <v>650</v>
      </c>
    </row>
    <row r="881" spans="1:1">
      <c r="A881" s="3" t="s">
        <v>612</v>
      </c>
    </row>
    <row r="882" spans="1:1">
      <c r="A882" s="3" t="s">
        <v>654</v>
      </c>
    </row>
    <row r="883" spans="1:1">
      <c r="A883" s="3" t="s">
        <v>655</v>
      </c>
    </row>
    <row r="884" spans="1:1">
      <c r="A884" s="3" t="s">
        <v>654</v>
      </c>
    </row>
    <row r="885" spans="1:1">
      <c r="A885" s="3" t="s">
        <v>655</v>
      </c>
    </row>
    <row r="886" spans="1:1">
      <c r="A886" s="3" t="s">
        <v>654</v>
      </c>
    </row>
    <row r="887" spans="1:1">
      <c r="A887" s="3" t="s">
        <v>655</v>
      </c>
    </row>
    <row r="888" spans="1:1">
      <c r="A888" s="3" t="s">
        <v>654</v>
      </c>
    </row>
    <row r="889" spans="1:1">
      <c r="A889" s="3" t="s">
        <v>655</v>
      </c>
    </row>
    <row r="890" spans="1:1">
      <c r="A890" s="3" t="s">
        <v>652</v>
      </c>
    </row>
    <row r="891" spans="1:1">
      <c r="A891" s="3" t="s">
        <v>658</v>
      </c>
    </row>
    <row r="892" spans="1:1">
      <c r="A892" s="3" t="s">
        <v>654</v>
      </c>
    </row>
    <row r="893" spans="1:1">
      <c r="A893" s="3" t="s">
        <v>655</v>
      </c>
    </row>
    <row r="894" spans="1:1">
      <c r="A894" s="3" t="s">
        <v>654</v>
      </c>
    </row>
    <row r="895" spans="1:1">
      <c r="A895" s="3" t="s">
        <v>655</v>
      </c>
    </row>
    <row r="896" spans="1:1">
      <c r="A896" s="3" t="s">
        <v>654</v>
      </c>
    </row>
    <row r="897" spans="1:1">
      <c r="A897" s="3" t="s">
        <v>657</v>
      </c>
    </row>
    <row r="898" spans="1:1">
      <c r="A898" s="3" t="s">
        <v>654</v>
      </c>
    </row>
    <row r="899" spans="1:1">
      <c r="A899" s="3" t="s">
        <v>653</v>
      </c>
    </row>
    <row r="900" spans="1:1">
      <c r="A900" s="3" t="s">
        <v>654</v>
      </c>
    </row>
    <row r="901" spans="1:1">
      <c r="A901" s="3" t="s">
        <v>655</v>
      </c>
    </row>
    <row r="902" spans="1:1">
      <c r="A902" s="3" t="s">
        <v>654</v>
      </c>
    </row>
    <row r="903" spans="1:1">
      <c r="A903" s="3" t="s">
        <v>655</v>
      </c>
    </row>
    <row r="904" spans="1:1">
      <c r="A904" s="3" t="s">
        <v>652</v>
      </c>
    </row>
    <row r="905" spans="1:1">
      <c r="A905" s="3" t="s">
        <v>658</v>
      </c>
    </row>
    <row r="906" spans="1:1">
      <c r="A906" s="3" t="s">
        <v>654</v>
      </c>
    </row>
    <row r="907" spans="1:1">
      <c r="A907" s="3" t="s">
        <v>553</v>
      </c>
    </row>
    <row r="908" spans="1:1">
      <c r="A908" s="3" t="s">
        <v>654</v>
      </c>
    </row>
    <row r="909" spans="1:1">
      <c r="A909" s="3" t="s">
        <v>655</v>
      </c>
    </row>
    <row r="910" spans="1:1">
      <c r="A910" s="3" t="s">
        <v>654</v>
      </c>
    </row>
    <row r="911" spans="1:1">
      <c r="A911" s="3" t="s">
        <v>655</v>
      </c>
    </row>
    <row r="912" spans="1:1">
      <c r="A912" s="3" t="s">
        <v>654</v>
      </c>
    </row>
    <row r="913" spans="1:1">
      <c r="A913" s="3" t="s">
        <v>657</v>
      </c>
    </row>
    <row r="914" spans="1:1">
      <c r="A914" s="3" t="s">
        <v>654</v>
      </c>
    </row>
    <row r="915" spans="1:1">
      <c r="A915" s="3" t="s">
        <v>655</v>
      </c>
    </row>
    <row r="916" spans="1:1">
      <c r="A916" s="3" t="s">
        <v>654</v>
      </c>
    </row>
    <row r="917" spans="1:1">
      <c r="A917" s="3" t="s">
        <v>655</v>
      </c>
    </row>
    <row r="918" spans="1:1">
      <c r="A918" s="3" t="s">
        <v>652</v>
      </c>
    </row>
    <row r="919" spans="1:1">
      <c r="A919" s="3" t="s">
        <v>658</v>
      </c>
    </row>
    <row r="920" spans="1:1">
      <c r="A920" s="3" t="s">
        <v>652</v>
      </c>
    </row>
    <row r="921" spans="1:1">
      <c r="A921" s="3" t="s">
        <v>658</v>
      </c>
    </row>
    <row r="922" spans="1:1">
      <c r="A922" s="3" t="s">
        <v>652</v>
      </c>
    </row>
    <row r="923" spans="1:1">
      <c r="A923" s="3" t="s">
        <v>658</v>
      </c>
    </row>
    <row r="924" spans="1:1">
      <c r="A924" s="3" t="s">
        <v>652</v>
      </c>
    </row>
    <row r="925" spans="1:1">
      <c r="A925" s="3" t="s">
        <v>653</v>
      </c>
    </row>
    <row r="926" spans="1:1">
      <c r="A926" s="3" t="s">
        <v>650</v>
      </c>
    </row>
    <row r="927" spans="1:1">
      <c r="A927" s="3" t="s">
        <v>612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20211-EDB8-4029-A088-BF0BBCD786D5}">
  <sheetPr codeName="Sheet4"/>
  <dimension ref="A1:K29"/>
  <sheetViews>
    <sheetView workbookViewId="0">
      <selection activeCell="A28" sqref="A28"/>
    </sheetView>
  </sheetViews>
  <sheetFormatPr defaultRowHeight="15"/>
  <cols>
    <col min="1" max="1" width="13.7109375" style="3" customWidth="1"/>
    <col min="2" max="16384" width="9.140625" style="3"/>
  </cols>
  <sheetData>
    <row r="1" spans="1:11">
      <c r="A1" s="3" t="s">
        <v>126</v>
      </c>
      <c r="B1" s="3">
        <v>1</v>
      </c>
    </row>
    <row r="2" spans="1:11">
      <c r="A2" s="3" t="s">
        <v>127</v>
      </c>
      <c r="B2" s="3">
        <v>1</v>
      </c>
    </row>
    <row r="3" spans="1:11">
      <c r="J3" s="6"/>
    </row>
    <row r="4" spans="1:11">
      <c r="E4" s="6"/>
      <c r="J4" s="6"/>
    </row>
    <row r="5" spans="1:11">
      <c r="E5" s="7"/>
      <c r="J5" s="6"/>
    </row>
    <row r="6" spans="1:11">
      <c r="E6" s="7"/>
      <c r="J6" s="6"/>
    </row>
    <row r="7" spans="1:11">
      <c r="J7" s="6"/>
    </row>
    <row r="8" spans="1:11">
      <c r="J8" s="6"/>
    </row>
    <row r="9" spans="1:11">
      <c r="A9" s="3" t="s">
        <v>128</v>
      </c>
      <c r="E9" s="7"/>
      <c r="G9" s="3" t="s">
        <v>129</v>
      </c>
      <c r="H9" s="3" t="s">
        <v>22</v>
      </c>
      <c r="I9" s="3" t="s">
        <v>23</v>
      </c>
      <c r="J9" s="3" t="s">
        <v>25</v>
      </c>
      <c r="K9" s="3" t="s">
        <v>130</v>
      </c>
    </row>
    <row r="10" spans="1:11">
      <c r="A10" s="3" t="s">
        <v>131</v>
      </c>
      <c r="B10" s="3">
        <v>1</v>
      </c>
      <c r="C10" s="3" t="s">
        <v>132</v>
      </c>
      <c r="G10" s="3" t="s">
        <v>133</v>
      </c>
      <c r="H10" s="3">
        <v>1</v>
      </c>
      <c r="I10" s="3">
        <v>1</v>
      </c>
      <c r="J10" s="3">
        <v>3</v>
      </c>
      <c r="K10" s="3">
        <v>1</v>
      </c>
    </row>
    <row r="11" spans="1:11">
      <c r="A11" s="3" t="s">
        <v>134</v>
      </c>
      <c r="B11" s="3">
        <v>2</v>
      </c>
    </row>
    <row r="12" spans="1:11">
      <c r="A12" s="3" t="s">
        <v>135</v>
      </c>
      <c r="B12" s="3">
        <v>3</v>
      </c>
    </row>
    <row r="14" spans="1:11">
      <c r="A14" s="3">
        <v>1</v>
      </c>
      <c r="B14" s="3">
        <f>100+A14</f>
        <v>101</v>
      </c>
      <c r="C14" s="3" t="s">
        <v>136</v>
      </c>
    </row>
    <row r="15" spans="1:11">
      <c r="A15" s="3">
        <v>2</v>
      </c>
      <c r="B15" s="3">
        <f t="shared" ref="B15:B25" si="0">100+A15</f>
        <v>102</v>
      </c>
    </row>
    <row r="16" spans="1:11">
      <c r="A16" s="3">
        <v>3</v>
      </c>
      <c r="B16" s="3">
        <f t="shared" si="0"/>
        <v>103</v>
      </c>
    </row>
    <row r="17" spans="1:3">
      <c r="A17" s="3">
        <v>4</v>
      </c>
      <c r="B17" s="3">
        <f t="shared" si="0"/>
        <v>104</v>
      </c>
    </row>
    <row r="18" spans="1:3">
      <c r="A18" s="3">
        <v>5</v>
      </c>
      <c r="B18" s="3">
        <f t="shared" si="0"/>
        <v>105</v>
      </c>
    </row>
    <row r="19" spans="1:3">
      <c r="A19" s="3">
        <v>6</v>
      </c>
      <c r="B19" s="3">
        <f t="shared" si="0"/>
        <v>106</v>
      </c>
    </row>
    <row r="20" spans="1:3">
      <c r="A20" s="3">
        <v>7</v>
      </c>
      <c r="B20" s="3">
        <f t="shared" si="0"/>
        <v>107</v>
      </c>
    </row>
    <row r="21" spans="1:3">
      <c r="A21" s="3">
        <v>8</v>
      </c>
      <c r="B21" s="3">
        <f t="shared" si="0"/>
        <v>108</v>
      </c>
    </row>
    <row r="22" spans="1:3">
      <c r="A22" s="3">
        <v>9</v>
      </c>
      <c r="B22" s="3">
        <f t="shared" si="0"/>
        <v>109</v>
      </c>
    </row>
    <row r="23" spans="1:3">
      <c r="A23" s="3">
        <v>10</v>
      </c>
      <c r="B23" s="3">
        <f t="shared" si="0"/>
        <v>110</v>
      </c>
    </row>
    <row r="24" spans="1:3">
      <c r="A24" s="3">
        <v>11</v>
      </c>
      <c r="B24" s="3">
        <f t="shared" si="0"/>
        <v>111</v>
      </c>
    </row>
    <row r="25" spans="1:3">
      <c r="A25" s="3">
        <v>12</v>
      </c>
      <c r="B25" s="3">
        <f t="shared" si="0"/>
        <v>112</v>
      </c>
    </row>
    <row r="27" spans="1:3">
      <c r="A27" s="3">
        <v>1</v>
      </c>
      <c r="B27" s="3">
        <f>10000+A27</f>
        <v>10001</v>
      </c>
      <c r="C27" s="3" t="s">
        <v>137</v>
      </c>
    </row>
    <row r="28" spans="1:3">
      <c r="A28" s="3">
        <v>2</v>
      </c>
      <c r="B28" s="3">
        <f t="shared" ref="B28:B29" si="1">10000+A28</f>
        <v>10002</v>
      </c>
    </row>
    <row r="29" spans="1:3">
      <c r="A29" s="3">
        <v>3</v>
      </c>
      <c r="B29" s="3">
        <f t="shared" si="1"/>
        <v>10003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5106-2196-4CBD-AB4E-C5FE5006338A}">
  <sheetPr codeName="Sheet7"/>
  <dimension ref="A1:BA98"/>
  <sheetViews>
    <sheetView topLeftCell="X1" workbookViewId="0">
      <selection activeCell="AE2" sqref="AD2:AE13"/>
    </sheetView>
  </sheetViews>
  <sheetFormatPr defaultRowHeight="15"/>
  <cols>
    <col min="1" max="1" width="9" style="3" bestFit="1" customWidth="1"/>
    <col min="2" max="2" width="12.7109375" style="3" bestFit="1" customWidth="1"/>
    <col min="3" max="3" width="9.140625" style="8"/>
    <col min="4" max="4" width="20.28515625" style="3" bestFit="1" customWidth="1"/>
    <col min="5" max="5" width="9.140625" style="3"/>
    <col min="6" max="6" width="21.140625" style="8" customWidth="1"/>
    <col min="7" max="7" width="24.85546875" style="3" customWidth="1"/>
    <col min="8" max="8" width="18.7109375" style="3" customWidth="1"/>
    <col min="9" max="9" width="9.140625" style="3"/>
    <col min="10" max="10" width="9.28515625" style="8" customWidth="1"/>
    <col min="11" max="11" width="82.7109375" style="3" customWidth="1"/>
    <col min="12" max="13" width="9.140625" style="3"/>
    <col min="14" max="14" width="2.42578125" style="3" bestFit="1" customWidth="1"/>
    <col min="15" max="15" width="9.140625" style="8"/>
    <col min="16" max="19" width="9.140625" style="4"/>
    <col min="20" max="20" width="9.140625" style="8"/>
    <col min="21" max="21" width="19.140625" style="3" customWidth="1"/>
    <col min="22" max="22" width="32.140625" style="3" customWidth="1"/>
    <col min="23" max="23" width="9.140625" style="8"/>
    <col min="24" max="24" width="26.85546875" style="3" customWidth="1"/>
    <col min="25" max="25" width="21.5703125" style="8" customWidth="1"/>
    <col min="26" max="26" width="15" style="3" customWidth="1"/>
    <col min="27" max="27" width="22.7109375" style="3" bestFit="1" customWidth="1"/>
    <col min="28" max="28" width="24.28515625" style="3" customWidth="1"/>
    <col min="29" max="29" width="9.140625" style="8"/>
    <col min="30" max="30" width="20.5703125" style="3" customWidth="1"/>
    <col min="31" max="31" width="65.5703125" style="3" customWidth="1"/>
    <col min="32" max="32" width="9.140625" style="8"/>
    <col min="33" max="34" width="9.140625" style="3"/>
    <col min="35" max="35" width="9.140625" style="8"/>
    <col min="36" max="42" width="9.140625" style="3"/>
    <col min="43" max="43" width="13" style="3" bestFit="1" customWidth="1"/>
    <col min="44" max="44" width="9.140625" style="3"/>
    <col min="45" max="45" width="17.28515625" style="3" bestFit="1" customWidth="1"/>
    <col min="46" max="46" width="11" style="3" bestFit="1" customWidth="1"/>
    <col min="47" max="47" width="13.140625" style="3" customWidth="1"/>
    <col min="48" max="48" width="11" style="3" bestFit="1" customWidth="1"/>
    <col min="49" max="49" width="21.5703125" style="3" customWidth="1"/>
    <col min="50" max="50" width="23.42578125" style="3" bestFit="1" customWidth="1"/>
    <col min="51" max="51" width="25.5703125" style="3" customWidth="1"/>
    <col min="52" max="52" width="28.140625" style="3" customWidth="1"/>
    <col min="53" max="53" width="18.42578125" style="3" bestFit="1" customWidth="1"/>
    <col min="54" max="16384" width="9.140625" style="3"/>
  </cols>
  <sheetData>
    <row r="1" spans="1:53" ht="33" customHeight="1">
      <c r="A1" s="4" t="s">
        <v>138</v>
      </c>
      <c r="B1" s="4">
        <f>COUNTA(A:A)-2</f>
        <v>4</v>
      </c>
      <c r="D1" s="3" t="s">
        <v>139</v>
      </c>
      <c r="E1" s="4">
        <f>COUNTA(D:D)-1</f>
        <v>5</v>
      </c>
      <c r="G1" s="3" t="s">
        <v>140</v>
      </c>
      <c r="H1" s="3" t="s">
        <v>141</v>
      </c>
      <c r="I1" s="4">
        <f>COUNTA(H:H)-1</f>
        <v>40</v>
      </c>
      <c r="J1" s="8" t="s">
        <v>142</v>
      </c>
      <c r="K1" s="3" t="s">
        <v>143</v>
      </c>
      <c r="L1" s="4">
        <f>COUNTA(K:K)-1</f>
        <v>19</v>
      </c>
      <c r="M1" s="3" t="s">
        <v>144</v>
      </c>
      <c r="N1" s="4">
        <f>COUNTA(M:M)-1</f>
        <v>19</v>
      </c>
      <c r="O1" s="8" t="s">
        <v>145</v>
      </c>
      <c r="P1" s="4" t="s">
        <v>146</v>
      </c>
      <c r="Q1" s="4" t="s">
        <v>147</v>
      </c>
      <c r="R1" s="4" t="s">
        <v>148</v>
      </c>
      <c r="S1" s="4" t="s">
        <v>149</v>
      </c>
      <c r="T1" s="8">
        <f>COUNTA(S:S)-1</f>
        <v>4</v>
      </c>
      <c r="U1" s="3" t="s">
        <v>150</v>
      </c>
      <c r="V1" s="3" t="s">
        <v>151</v>
      </c>
      <c r="W1" s="8">
        <f>COUNTA(V:V)-1</f>
        <v>49</v>
      </c>
      <c r="X1" s="3" t="s">
        <v>152</v>
      </c>
      <c r="Y1" s="8">
        <f>COUNTA(X:X)-1</f>
        <v>8</v>
      </c>
      <c r="Z1" s="3" t="s">
        <v>153</v>
      </c>
      <c r="AA1" s="3" t="s">
        <v>546</v>
      </c>
      <c r="AB1" s="3" t="s">
        <v>547</v>
      </c>
      <c r="AC1" s="8">
        <f>COUNTA(Z:Z)-1</f>
        <v>27</v>
      </c>
      <c r="AD1" s="3" t="s">
        <v>154</v>
      </c>
      <c r="AE1" s="3" t="s">
        <v>548</v>
      </c>
      <c r="AF1" s="8">
        <f>COUNTA(AD:AD)-1</f>
        <v>12</v>
      </c>
      <c r="AG1" s="3" t="s">
        <v>155</v>
      </c>
      <c r="AH1" s="3" t="s">
        <v>156</v>
      </c>
      <c r="AI1" s="8">
        <f>COUNTA(AH:AH)-1</f>
        <v>45</v>
      </c>
      <c r="AJ1" s="3" t="s">
        <v>157</v>
      </c>
      <c r="AK1" s="3" t="s">
        <v>158</v>
      </c>
      <c r="AL1" s="3" t="s">
        <v>159</v>
      </c>
      <c r="AM1" s="3" t="s">
        <v>160</v>
      </c>
      <c r="AN1" s="8">
        <f>COUNTA(AM:AM)-1</f>
        <v>0</v>
      </c>
      <c r="AO1" s="3" t="s">
        <v>161</v>
      </c>
      <c r="AP1" s="8">
        <f>COUNTA(AO:AO)-1</f>
        <v>6</v>
      </c>
      <c r="AQ1" s="3" t="s">
        <v>162</v>
      </c>
      <c r="AR1" s="8">
        <f>COUNTA(AQ:AQ)-1</f>
        <v>4</v>
      </c>
      <c r="AS1" s="3" t="s">
        <v>163</v>
      </c>
      <c r="AT1" s="8">
        <f>COUNTA(AS:AS)-1</f>
        <v>12</v>
      </c>
      <c r="AU1" s="3" t="s">
        <v>164</v>
      </c>
      <c r="AV1" s="3" t="s">
        <v>165</v>
      </c>
      <c r="AW1" s="3" t="s">
        <v>166</v>
      </c>
      <c r="AX1" s="3" t="s">
        <v>167</v>
      </c>
      <c r="AY1" s="3" t="s">
        <v>168</v>
      </c>
      <c r="AZ1" s="8">
        <f>COUNTA(AY:AY)-1</f>
        <v>26</v>
      </c>
    </row>
    <row r="2" spans="1:53">
      <c r="A2" s="3" t="s">
        <v>169</v>
      </c>
      <c r="B2" s="3" t="s">
        <v>170</v>
      </c>
      <c r="D2" s="9" t="s">
        <v>171</v>
      </c>
      <c r="F2" s="8" t="s">
        <v>172</v>
      </c>
      <c r="G2" s="3" t="s">
        <v>173</v>
      </c>
      <c r="H2" s="3" t="s">
        <v>174</v>
      </c>
      <c r="I2" s="3" t="s">
        <v>497</v>
      </c>
      <c r="K2" s="3" t="s">
        <v>175</v>
      </c>
      <c r="M2" s="3" t="s">
        <v>176</v>
      </c>
      <c r="P2" s="10" t="s">
        <v>177</v>
      </c>
      <c r="Q2" s="10" t="s">
        <v>178</v>
      </c>
      <c r="R2" s="10" t="s">
        <v>179</v>
      </c>
      <c r="S2" s="10" t="s">
        <v>180</v>
      </c>
      <c r="T2" s="8">
        <f>COUNTA(Q:Q)-1</f>
        <v>5</v>
      </c>
      <c r="U2" s="3" t="s">
        <v>181</v>
      </c>
      <c r="V2" s="11" t="s">
        <v>182</v>
      </c>
      <c r="X2" s="3" t="s">
        <v>499</v>
      </c>
      <c r="Y2" s="3" t="s">
        <v>498</v>
      </c>
      <c r="Z2" s="3" t="s">
        <v>549</v>
      </c>
      <c r="AA2" s="3">
        <v>1</v>
      </c>
      <c r="AB2" s="3" t="s">
        <v>519</v>
      </c>
      <c r="AC2" s="3"/>
      <c r="AD2" s="3" t="s">
        <v>659</v>
      </c>
      <c r="AE2" s="3" t="s">
        <v>671</v>
      </c>
      <c r="AG2" s="3" t="s">
        <v>183</v>
      </c>
      <c r="AH2" s="3" t="s">
        <v>184</v>
      </c>
      <c r="AO2" s="3" t="s">
        <v>185</v>
      </c>
      <c r="AQ2" s="3" t="s">
        <v>186</v>
      </c>
      <c r="AS2" s="3" t="s">
        <v>187</v>
      </c>
      <c r="AT2" s="3">
        <f>COUNTA(AU:AU)-1</f>
        <v>1</v>
      </c>
      <c r="AU2" s="3" t="s">
        <v>518</v>
      </c>
      <c r="AV2" s="3">
        <v>6</v>
      </c>
      <c r="AW2" s="3">
        <v>2</v>
      </c>
      <c r="AX2" s="3">
        <v>170</v>
      </c>
      <c r="AY2" s="3" t="s">
        <v>189</v>
      </c>
      <c r="AZ2" s="12" t="str">
        <f>"=3、合并报表!R"&amp;BA2&amp;"C222"</f>
        <v>=3、合并报表!R50C222</v>
      </c>
      <c r="BA2" s="12">
        <v>50</v>
      </c>
    </row>
    <row r="3" spans="1:53">
      <c r="A3" s="3" t="s">
        <v>190</v>
      </c>
      <c r="B3" s="3" t="str">
        <f>A3&amp;"变"</f>
        <v>山门口变</v>
      </c>
      <c r="D3" s="3" t="s">
        <v>191</v>
      </c>
      <c r="F3" s="8" t="s">
        <v>192</v>
      </c>
      <c r="G3" s="3" t="s">
        <v>193</v>
      </c>
      <c r="H3" s="3" t="s">
        <v>194</v>
      </c>
      <c r="I3" s="3" t="s">
        <v>497</v>
      </c>
      <c r="K3" s="3" t="s">
        <v>195</v>
      </c>
      <c r="M3" s="3" t="s">
        <v>196</v>
      </c>
      <c r="Q3" s="10" t="s">
        <v>197</v>
      </c>
      <c r="R3" s="10"/>
      <c r="S3" s="10" t="s">
        <v>198</v>
      </c>
      <c r="U3" s="3" t="s">
        <v>199</v>
      </c>
      <c r="V3" s="11" t="s">
        <v>200</v>
      </c>
      <c r="X3" s="3" t="s">
        <v>500</v>
      </c>
      <c r="Z3" s="3" t="s">
        <v>549</v>
      </c>
      <c r="AA3" s="3">
        <v>2</v>
      </c>
      <c r="AB3" s="3" t="s">
        <v>520</v>
      </c>
      <c r="AD3" s="3" t="s">
        <v>660</v>
      </c>
      <c r="AE3" s="3" t="s">
        <v>672</v>
      </c>
      <c r="AG3" s="3" t="s">
        <v>183</v>
      </c>
      <c r="AH3" s="3" t="s">
        <v>201</v>
      </c>
      <c r="AO3" s="3" t="s">
        <v>188</v>
      </c>
      <c r="AQ3" s="3" t="s">
        <v>202</v>
      </c>
      <c r="AS3" s="14" t="s">
        <v>507</v>
      </c>
      <c r="AT3" s="8" t="s">
        <v>203</v>
      </c>
      <c r="AY3" s="3" t="s">
        <v>204</v>
      </c>
      <c r="AZ3" s="12" t="str">
        <f t="shared" ref="AZ3:AZ27" si="0">"=3、合并报表!R"&amp;BA3&amp;"C222"</f>
        <v>=3、合并报表!R51C222</v>
      </c>
      <c r="BA3" s="12">
        <v>51</v>
      </c>
    </row>
    <row r="4" spans="1:53">
      <c r="A4" s="3" t="s">
        <v>205</v>
      </c>
      <c r="B4" s="3" t="str">
        <f t="shared" ref="B4:B6" si="1">A4&amp;"变"</f>
        <v>沙井村变</v>
      </c>
      <c r="D4" s="3" t="s">
        <v>206</v>
      </c>
      <c r="F4" s="8" t="s">
        <v>207</v>
      </c>
      <c r="G4" s="3" t="s">
        <v>208</v>
      </c>
      <c r="H4" s="3" t="s">
        <v>209</v>
      </c>
      <c r="I4" s="3" t="s">
        <v>497</v>
      </c>
      <c r="K4" s="3" t="s">
        <v>210</v>
      </c>
      <c r="M4" s="3" t="s">
        <v>211</v>
      </c>
      <c r="Q4" s="10" t="s">
        <v>212</v>
      </c>
      <c r="R4" s="10"/>
      <c r="S4" s="10" t="s">
        <v>213</v>
      </c>
      <c r="U4" s="3" t="s">
        <v>214</v>
      </c>
      <c r="V4" s="11" t="s">
        <v>215</v>
      </c>
      <c r="X4" s="3" t="s">
        <v>501</v>
      </c>
      <c r="Z4" s="3" t="s">
        <v>549</v>
      </c>
      <c r="AA4" s="3">
        <f>AA3+1</f>
        <v>3</v>
      </c>
      <c r="AB4" s="3" t="s">
        <v>521</v>
      </c>
      <c r="AD4" s="3" t="s">
        <v>661</v>
      </c>
      <c r="AE4" s="3" t="s">
        <v>673</v>
      </c>
      <c r="AG4" s="3" t="s">
        <v>183</v>
      </c>
      <c r="AH4" s="3" t="s">
        <v>216</v>
      </c>
      <c r="AO4" s="3" t="s">
        <v>217</v>
      </c>
      <c r="AQ4" s="3" t="s">
        <v>218</v>
      </c>
      <c r="AS4" s="14" t="s">
        <v>508</v>
      </c>
      <c r="AY4" s="3" t="s">
        <v>219</v>
      </c>
      <c r="AZ4" s="12" t="str">
        <f t="shared" si="0"/>
        <v>=3、合并报表!R52C222</v>
      </c>
      <c r="BA4" s="12">
        <v>52</v>
      </c>
    </row>
    <row r="5" spans="1:53">
      <c r="A5" s="3" t="s">
        <v>220</v>
      </c>
      <c r="B5" s="3" t="str">
        <f t="shared" si="1"/>
        <v>木塔寨变</v>
      </c>
      <c r="D5" s="3" t="s">
        <v>221</v>
      </c>
      <c r="F5" s="8" t="s">
        <v>222</v>
      </c>
      <c r="G5" s="3" t="s">
        <v>223</v>
      </c>
      <c r="H5" s="3" t="s">
        <v>224</v>
      </c>
      <c r="I5" s="3" t="s">
        <v>497</v>
      </c>
      <c r="K5" s="3" t="s">
        <v>225</v>
      </c>
      <c r="M5" s="3" t="s">
        <v>226</v>
      </c>
      <c r="Q5" s="10" t="s">
        <v>227</v>
      </c>
      <c r="R5" s="10"/>
      <c r="S5" s="10" t="s">
        <v>228</v>
      </c>
      <c r="U5" s="3" t="s">
        <v>229</v>
      </c>
      <c r="V5" s="11" t="s">
        <v>230</v>
      </c>
      <c r="X5" s="3" t="s">
        <v>502</v>
      </c>
      <c r="Z5" s="3" t="s">
        <v>549</v>
      </c>
      <c r="AA5" s="3">
        <f t="shared" ref="AA5:AA28" si="2">AA4+1</f>
        <v>4</v>
      </c>
      <c r="AB5" s="3" t="s">
        <v>522</v>
      </c>
      <c r="AD5" s="3" t="s">
        <v>662</v>
      </c>
      <c r="AE5" s="3" t="s">
        <v>674</v>
      </c>
      <c r="AG5" s="3" t="s">
        <v>183</v>
      </c>
      <c r="AH5" s="3" t="s">
        <v>231</v>
      </c>
      <c r="AO5" s="3" t="s">
        <v>232</v>
      </c>
      <c r="AQ5" s="3" t="s">
        <v>233</v>
      </c>
      <c r="AS5" s="14" t="s">
        <v>509</v>
      </c>
      <c r="AY5" s="3" t="s">
        <v>234</v>
      </c>
      <c r="AZ5" s="12" t="str">
        <f t="shared" si="0"/>
        <v>=3、合并报表!R53C222</v>
      </c>
      <c r="BA5" s="12">
        <v>53</v>
      </c>
    </row>
    <row r="6" spans="1:53">
      <c r="A6" s="3" t="s">
        <v>235</v>
      </c>
      <c r="B6" s="3" t="str">
        <f t="shared" si="1"/>
        <v>科技路变</v>
      </c>
      <c r="D6" s="3" t="s">
        <v>236</v>
      </c>
      <c r="F6" s="8" t="s">
        <v>237</v>
      </c>
      <c r="G6" s="3" t="s">
        <v>238</v>
      </c>
      <c r="H6" s="3" t="s">
        <v>239</v>
      </c>
      <c r="I6" s="3" t="s">
        <v>497</v>
      </c>
      <c r="K6" s="3" t="s">
        <v>240</v>
      </c>
      <c r="M6" s="3" t="s">
        <v>241</v>
      </c>
      <c r="Q6" s="10" t="s">
        <v>242</v>
      </c>
      <c r="R6" s="10"/>
      <c r="S6" s="10"/>
      <c r="U6" s="3" t="s">
        <v>243</v>
      </c>
      <c r="V6" s="11" t="s">
        <v>244</v>
      </c>
      <c r="X6" s="3" t="s">
        <v>503</v>
      </c>
      <c r="Z6" s="3" t="s">
        <v>549</v>
      </c>
      <c r="AA6" s="3">
        <f t="shared" si="2"/>
        <v>5</v>
      </c>
      <c r="AB6" s="3" t="s">
        <v>523</v>
      </c>
      <c r="AD6" s="3" t="s">
        <v>663</v>
      </c>
      <c r="AE6" s="3" t="s">
        <v>675</v>
      </c>
      <c r="AG6" s="3" t="s">
        <v>183</v>
      </c>
      <c r="AH6" s="3" t="s">
        <v>245</v>
      </c>
      <c r="AO6" s="3" t="s">
        <v>246</v>
      </c>
      <c r="AS6" s="14" t="s">
        <v>510</v>
      </c>
      <c r="AY6" s="3" t="s">
        <v>247</v>
      </c>
      <c r="AZ6" s="12" t="str">
        <f t="shared" si="0"/>
        <v>=3、合并报表!R54C222</v>
      </c>
      <c r="BA6" s="12">
        <v>54</v>
      </c>
    </row>
    <row r="7" spans="1:53">
      <c r="G7" s="3" t="s">
        <v>248</v>
      </c>
      <c r="H7" s="3" t="s">
        <v>249</v>
      </c>
      <c r="K7" s="3" t="s">
        <v>250</v>
      </c>
      <c r="M7" s="3" t="s">
        <v>251</v>
      </c>
      <c r="Q7" s="10"/>
      <c r="R7" s="10"/>
      <c r="S7" s="10"/>
      <c r="U7" s="3" t="s">
        <v>252</v>
      </c>
      <c r="V7" s="11" t="s">
        <v>253</v>
      </c>
      <c r="X7" s="3" t="s">
        <v>504</v>
      </c>
      <c r="Z7" s="3" t="s">
        <v>549</v>
      </c>
      <c r="AA7" s="3">
        <f t="shared" si="2"/>
        <v>6</v>
      </c>
      <c r="AB7" s="3" t="s">
        <v>524</v>
      </c>
      <c r="AD7" s="3" t="s">
        <v>664</v>
      </c>
      <c r="AE7" s="3" t="s">
        <v>676</v>
      </c>
      <c r="AG7" s="3" t="s">
        <v>183</v>
      </c>
      <c r="AH7" s="3" t="s">
        <v>254</v>
      </c>
      <c r="AO7" s="3" t="s">
        <v>255</v>
      </c>
      <c r="AS7" s="14" t="s">
        <v>511</v>
      </c>
      <c r="AY7" s="3" t="s">
        <v>256</v>
      </c>
      <c r="AZ7" s="12" t="str">
        <f t="shared" si="0"/>
        <v>=3、合并报表!R55C222</v>
      </c>
      <c r="BA7" s="12">
        <v>55</v>
      </c>
    </row>
    <row r="8" spans="1:53">
      <c r="B8" s="13"/>
      <c r="G8" s="3" t="s">
        <v>257</v>
      </c>
      <c r="H8" s="3" t="s">
        <v>258</v>
      </c>
      <c r="K8" s="3" t="s">
        <v>259</v>
      </c>
      <c r="M8" s="3" t="s">
        <v>260</v>
      </c>
      <c r="Q8" s="10"/>
      <c r="R8" s="10"/>
      <c r="S8" s="10"/>
      <c r="U8" s="3" t="s">
        <v>261</v>
      </c>
      <c r="V8" s="11" t="s">
        <v>262</v>
      </c>
      <c r="X8" s="3" t="s">
        <v>505</v>
      </c>
      <c r="Z8" s="3" t="s">
        <v>549</v>
      </c>
      <c r="AA8" s="3">
        <f t="shared" si="2"/>
        <v>7</v>
      </c>
      <c r="AB8" s="3" t="s">
        <v>525</v>
      </c>
      <c r="AD8" s="3" t="s">
        <v>665</v>
      </c>
      <c r="AE8" s="3" t="s">
        <v>677</v>
      </c>
      <c r="AG8" s="3" t="s">
        <v>183</v>
      </c>
      <c r="AH8" s="3" t="s">
        <v>263</v>
      </c>
      <c r="AS8" s="14" t="s">
        <v>512</v>
      </c>
      <c r="AY8" s="3" t="s">
        <v>264</v>
      </c>
      <c r="AZ8" s="12" t="str">
        <f t="shared" si="0"/>
        <v>=3、合并报表!R56C222</v>
      </c>
      <c r="BA8" s="12">
        <v>56</v>
      </c>
    </row>
    <row r="9" spans="1:53">
      <c r="B9" s="13"/>
      <c r="F9" s="8" t="s">
        <v>265</v>
      </c>
      <c r="G9" s="3" t="s">
        <v>266</v>
      </c>
      <c r="H9" s="3" t="s">
        <v>267</v>
      </c>
      <c r="K9" s="3" t="s">
        <v>268</v>
      </c>
      <c r="M9" s="3" t="s">
        <v>269</v>
      </c>
      <c r="Q9" s="10"/>
      <c r="R9" s="10"/>
      <c r="S9" s="10"/>
      <c r="U9" s="3" t="s">
        <v>270</v>
      </c>
      <c r="V9" s="11" t="s">
        <v>271</v>
      </c>
      <c r="X9" s="3" t="s">
        <v>506</v>
      </c>
      <c r="Z9" s="3" t="s">
        <v>549</v>
      </c>
      <c r="AA9" s="3">
        <f t="shared" si="2"/>
        <v>8</v>
      </c>
      <c r="AB9" s="3" t="s">
        <v>526</v>
      </c>
      <c r="AD9" s="3" t="s">
        <v>666</v>
      </c>
      <c r="AE9" s="3" t="s">
        <v>678</v>
      </c>
      <c r="AG9" s="3" t="s">
        <v>183</v>
      </c>
      <c r="AH9" s="3" t="s">
        <v>272</v>
      </c>
      <c r="AS9" s="14" t="s">
        <v>513</v>
      </c>
      <c r="AY9" s="3" t="s">
        <v>273</v>
      </c>
      <c r="AZ9" s="12" t="str">
        <f t="shared" si="0"/>
        <v>=3、合并报表!R57C222</v>
      </c>
      <c r="BA9" s="12">
        <v>57</v>
      </c>
    </row>
    <row r="10" spans="1:53">
      <c r="B10" s="13"/>
      <c r="G10" s="3" t="s">
        <v>274</v>
      </c>
      <c r="H10" s="3" t="s">
        <v>275</v>
      </c>
      <c r="K10" s="3" t="s">
        <v>276</v>
      </c>
      <c r="M10" s="3" t="s">
        <v>277</v>
      </c>
      <c r="Q10" s="10"/>
      <c r="R10" s="10"/>
      <c r="S10" s="10"/>
      <c r="U10" s="3" t="s">
        <v>278</v>
      </c>
      <c r="V10" s="3" t="s">
        <v>279</v>
      </c>
      <c r="Z10" s="3" t="s">
        <v>549</v>
      </c>
      <c r="AA10" s="3">
        <f t="shared" si="2"/>
        <v>9</v>
      </c>
      <c r="AB10" s="3" t="s">
        <v>527</v>
      </c>
      <c r="AD10" s="3" t="s">
        <v>667</v>
      </c>
      <c r="AE10" s="3" t="s">
        <v>679</v>
      </c>
      <c r="AG10" s="3" t="s">
        <v>183</v>
      </c>
      <c r="AH10" s="3" t="s">
        <v>280</v>
      </c>
      <c r="AS10" s="14" t="s">
        <v>514</v>
      </c>
      <c r="AY10" s="3" t="s">
        <v>281</v>
      </c>
      <c r="AZ10" s="12" t="str">
        <f t="shared" si="0"/>
        <v>=3、合并报表!R58C222</v>
      </c>
      <c r="BA10" s="12">
        <v>58</v>
      </c>
    </row>
    <row r="11" spans="1:53">
      <c r="B11" s="13"/>
      <c r="G11" s="3" t="s">
        <v>282</v>
      </c>
      <c r="H11" s="3" t="s">
        <v>283</v>
      </c>
      <c r="K11" s="3" t="s">
        <v>284</v>
      </c>
      <c r="M11" s="3" t="s">
        <v>285</v>
      </c>
      <c r="Q11" s="10"/>
      <c r="R11" s="10"/>
      <c r="S11" s="10"/>
      <c r="U11" s="3" t="s">
        <v>286</v>
      </c>
      <c r="V11" s="3" t="s">
        <v>287</v>
      </c>
      <c r="Z11" s="3" t="s">
        <v>549</v>
      </c>
      <c r="AA11" s="3">
        <f t="shared" si="2"/>
        <v>10</v>
      </c>
      <c r="AB11" s="3" t="s">
        <v>528</v>
      </c>
      <c r="AD11" s="3" t="s">
        <v>668</v>
      </c>
      <c r="AE11" s="3" t="s">
        <v>680</v>
      </c>
      <c r="AG11" s="3" t="s">
        <v>183</v>
      </c>
      <c r="AH11" s="3" t="s">
        <v>288</v>
      </c>
      <c r="AS11" s="14" t="s">
        <v>515</v>
      </c>
      <c r="AY11" s="3" t="s">
        <v>289</v>
      </c>
      <c r="AZ11" s="12" t="str">
        <f t="shared" si="0"/>
        <v>=3、合并报表!R59C222</v>
      </c>
      <c r="BA11" s="12">
        <v>59</v>
      </c>
    </row>
    <row r="12" spans="1:53" ht="15.75">
      <c r="B12" s="13"/>
      <c r="G12" s="3" t="s">
        <v>290</v>
      </c>
      <c r="H12" s="3" t="s">
        <v>291</v>
      </c>
      <c r="K12" s="3" t="s">
        <v>292</v>
      </c>
      <c r="M12" s="3" t="s">
        <v>293</v>
      </c>
      <c r="S12" s="15"/>
      <c r="U12" s="3" t="s">
        <v>294</v>
      </c>
      <c r="V12" s="3" t="s">
        <v>295</v>
      </c>
      <c r="Z12" s="3" t="s">
        <v>549</v>
      </c>
      <c r="AA12" s="3">
        <f t="shared" si="2"/>
        <v>11</v>
      </c>
      <c r="AB12" s="3" t="s">
        <v>529</v>
      </c>
      <c r="AD12" s="3" t="s">
        <v>669</v>
      </c>
      <c r="AE12" s="3" t="s">
        <v>681</v>
      </c>
      <c r="AG12" s="3" t="s">
        <v>183</v>
      </c>
      <c r="AH12" s="3" t="s">
        <v>296</v>
      </c>
      <c r="AS12" s="14" t="s">
        <v>516</v>
      </c>
      <c r="AY12" s="3" t="s">
        <v>297</v>
      </c>
      <c r="AZ12" s="12" t="str">
        <f t="shared" si="0"/>
        <v>=3、合并报表!R60C222</v>
      </c>
      <c r="BA12" s="12">
        <v>60</v>
      </c>
    </row>
    <row r="13" spans="1:53" ht="15.75">
      <c r="A13" s="16"/>
      <c r="B13" s="13"/>
      <c r="G13" s="3" t="s">
        <v>298</v>
      </c>
      <c r="H13" s="3" t="s">
        <v>299</v>
      </c>
      <c r="K13" s="3" t="s">
        <v>300</v>
      </c>
      <c r="M13" s="3" t="s">
        <v>301</v>
      </c>
      <c r="S13" s="15"/>
      <c r="U13" s="3" t="s">
        <v>302</v>
      </c>
      <c r="V13" s="3" t="s">
        <v>303</v>
      </c>
      <c r="Z13" s="3" t="s">
        <v>549</v>
      </c>
      <c r="AA13" s="3">
        <f t="shared" si="2"/>
        <v>12</v>
      </c>
      <c r="AB13" s="3" t="s">
        <v>530</v>
      </c>
      <c r="AD13" s="3" t="s">
        <v>670</v>
      </c>
      <c r="AE13" s="3" t="s">
        <v>682</v>
      </c>
      <c r="AG13" s="3" t="s">
        <v>183</v>
      </c>
      <c r="AH13" s="3" t="s">
        <v>304</v>
      </c>
      <c r="AS13" s="14" t="s">
        <v>517</v>
      </c>
      <c r="AY13" s="3" t="s">
        <v>305</v>
      </c>
      <c r="AZ13" s="12" t="str">
        <f t="shared" si="0"/>
        <v>=3、合并报表!R61C222</v>
      </c>
      <c r="BA13" s="12">
        <v>61</v>
      </c>
    </row>
    <row r="14" spans="1:53" ht="15.75">
      <c r="A14" s="17"/>
      <c r="B14" s="13"/>
      <c r="G14" s="3" t="s">
        <v>306</v>
      </c>
      <c r="H14" s="3" t="s">
        <v>307</v>
      </c>
      <c r="K14" s="3" t="s">
        <v>308</v>
      </c>
      <c r="M14" s="3" t="s">
        <v>309</v>
      </c>
      <c r="S14" s="15"/>
      <c r="U14" s="3" t="s">
        <v>310</v>
      </c>
      <c r="V14" s="3" t="s">
        <v>311</v>
      </c>
      <c r="Z14" s="3" t="s">
        <v>549</v>
      </c>
      <c r="AA14" s="3">
        <f t="shared" si="2"/>
        <v>13</v>
      </c>
      <c r="AB14" s="3" t="s">
        <v>531</v>
      </c>
      <c r="AG14" s="3" t="s">
        <v>183</v>
      </c>
      <c r="AH14" s="3" t="s">
        <v>312</v>
      </c>
      <c r="AS14" s="14"/>
      <c r="AY14" s="3" t="s">
        <v>313</v>
      </c>
      <c r="AZ14" s="12" t="str">
        <f t="shared" si="0"/>
        <v>=3、合并报表!R62C222</v>
      </c>
      <c r="BA14" s="12">
        <v>62</v>
      </c>
    </row>
    <row r="15" spans="1:53" ht="15.75">
      <c r="A15" s="16"/>
      <c r="B15" s="13"/>
      <c r="E15" s="18"/>
      <c r="G15" s="3" t="s">
        <v>314</v>
      </c>
      <c r="H15" s="3" t="s">
        <v>315</v>
      </c>
      <c r="K15" s="3" t="s">
        <v>316</v>
      </c>
      <c r="M15" s="3" t="s">
        <v>317</v>
      </c>
      <c r="S15" s="15"/>
      <c r="U15" s="3" t="s">
        <v>318</v>
      </c>
      <c r="V15" s="3" t="s">
        <v>319</v>
      </c>
      <c r="Z15" s="3" t="s">
        <v>549</v>
      </c>
      <c r="AA15" s="3">
        <f t="shared" si="2"/>
        <v>14</v>
      </c>
      <c r="AB15" s="3" t="s">
        <v>532</v>
      </c>
      <c r="AG15" s="3" t="s">
        <v>183</v>
      </c>
      <c r="AH15" s="3" t="s">
        <v>320</v>
      </c>
      <c r="AS15" s="14"/>
      <c r="AY15" s="3" t="s">
        <v>321</v>
      </c>
      <c r="AZ15" s="12" t="str">
        <f t="shared" si="0"/>
        <v>=3、合并报表!R63C222</v>
      </c>
      <c r="BA15" s="12">
        <v>63</v>
      </c>
    </row>
    <row r="16" spans="1:53" ht="15.75">
      <c r="A16" s="17"/>
      <c r="B16" s="13"/>
      <c r="G16" s="3" t="s">
        <v>322</v>
      </c>
      <c r="H16" s="3" t="s">
        <v>323</v>
      </c>
      <c r="K16" s="3" t="s">
        <v>324</v>
      </c>
      <c r="M16" s="3" t="s">
        <v>325</v>
      </c>
      <c r="S16" s="15"/>
      <c r="U16" s="3" t="s">
        <v>326</v>
      </c>
      <c r="V16" s="3" t="s">
        <v>327</v>
      </c>
      <c r="Z16" s="3" t="s">
        <v>549</v>
      </c>
      <c r="AA16" s="3">
        <f t="shared" si="2"/>
        <v>15</v>
      </c>
      <c r="AB16" s="3" t="s">
        <v>533</v>
      </c>
      <c r="AG16" s="3" t="s">
        <v>183</v>
      </c>
      <c r="AH16" s="3" t="s">
        <v>328</v>
      </c>
      <c r="AS16" s="14"/>
      <c r="AY16" s="3" t="s">
        <v>329</v>
      </c>
      <c r="AZ16" s="12" t="str">
        <f t="shared" si="0"/>
        <v>=3、合并报表!R64C222</v>
      </c>
      <c r="BA16" s="12">
        <v>64</v>
      </c>
    </row>
    <row r="17" spans="1:53" ht="15.75">
      <c r="A17" s="16"/>
      <c r="B17" s="13"/>
      <c r="G17" s="3" t="s">
        <v>330</v>
      </c>
      <c r="H17" s="3" t="s">
        <v>331</v>
      </c>
      <c r="K17" s="3" t="s">
        <v>332</v>
      </c>
      <c r="M17" s="3" t="s">
        <v>333</v>
      </c>
      <c r="S17" s="15"/>
      <c r="U17" s="3" t="s">
        <v>334</v>
      </c>
      <c r="V17" s="3" t="s">
        <v>335</v>
      </c>
      <c r="Z17" s="3" t="s">
        <v>549</v>
      </c>
      <c r="AA17" s="3">
        <f t="shared" si="2"/>
        <v>16</v>
      </c>
      <c r="AB17" s="3" t="s">
        <v>534</v>
      </c>
      <c r="AG17" s="3" t="s">
        <v>183</v>
      </c>
      <c r="AH17" s="3" t="s">
        <v>336</v>
      </c>
      <c r="AS17" s="14"/>
      <c r="AY17" s="3" t="s">
        <v>337</v>
      </c>
      <c r="AZ17" s="12" t="str">
        <f t="shared" si="0"/>
        <v>=3、合并报表!R65C222</v>
      </c>
      <c r="BA17" s="12">
        <v>65</v>
      </c>
    </row>
    <row r="18" spans="1:53" ht="15.75">
      <c r="A18" s="16"/>
      <c r="B18" s="13"/>
      <c r="G18" s="3" t="s">
        <v>338</v>
      </c>
      <c r="H18" s="3" t="s">
        <v>339</v>
      </c>
      <c r="K18" s="3" t="s">
        <v>340</v>
      </c>
      <c r="M18" s="3" t="s">
        <v>341</v>
      </c>
      <c r="S18" s="15"/>
      <c r="U18" s="3" t="s">
        <v>342</v>
      </c>
      <c r="V18" s="3" t="s">
        <v>343</v>
      </c>
      <c r="Z18" s="3" t="s">
        <v>549</v>
      </c>
      <c r="AA18" s="3">
        <f t="shared" si="2"/>
        <v>17</v>
      </c>
      <c r="AB18" s="3" t="s">
        <v>535</v>
      </c>
      <c r="AG18" s="3" t="s">
        <v>183</v>
      </c>
      <c r="AH18" s="3" t="s">
        <v>344</v>
      </c>
      <c r="AS18" s="14"/>
      <c r="AY18" s="3" t="s">
        <v>345</v>
      </c>
      <c r="AZ18" s="12" t="str">
        <f t="shared" si="0"/>
        <v>=3、合并报表!R66C222</v>
      </c>
      <c r="BA18" s="12">
        <v>66</v>
      </c>
    </row>
    <row r="19" spans="1:53" ht="15.75">
      <c r="A19" s="17"/>
      <c r="B19" s="13"/>
      <c r="G19" s="3" t="s">
        <v>346</v>
      </c>
      <c r="H19" s="3" t="s">
        <v>347</v>
      </c>
      <c r="K19" s="3" t="s">
        <v>348</v>
      </c>
      <c r="M19" s="3" t="s">
        <v>349</v>
      </c>
      <c r="S19" s="15"/>
      <c r="U19" s="3" t="s">
        <v>350</v>
      </c>
      <c r="V19" s="3" t="s">
        <v>351</v>
      </c>
      <c r="Z19" s="3" t="s">
        <v>549</v>
      </c>
      <c r="AA19" s="3">
        <f t="shared" si="2"/>
        <v>18</v>
      </c>
      <c r="AB19" s="3" t="s">
        <v>536</v>
      </c>
      <c r="AG19" s="3" t="s">
        <v>183</v>
      </c>
      <c r="AH19" s="3" t="s">
        <v>352</v>
      </c>
      <c r="AS19" s="14"/>
      <c r="AY19" s="3" t="s">
        <v>353</v>
      </c>
      <c r="AZ19" s="12" t="str">
        <f t="shared" si="0"/>
        <v>=3、合并报表!R67C222</v>
      </c>
      <c r="BA19" s="12">
        <v>67</v>
      </c>
    </row>
    <row r="20" spans="1:53" ht="15.75">
      <c r="A20" s="16"/>
      <c r="B20" s="13"/>
      <c r="G20" s="3" t="s">
        <v>354</v>
      </c>
      <c r="H20" s="3" t="s">
        <v>355</v>
      </c>
      <c r="K20" s="3" t="s">
        <v>356</v>
      </c>
      <c r="M20" s="3" t="s">
        <v>357</v>
      </c>
      <c r="S20" s="15"/>
      <c r="U20" s="3" t="s">
        <v>358</v>
      </c>
      <c r="V20" s="3" t="s">
        <v>359</v>
      </c>
      <c r="Z20" s="3" t="s">
        <v>549</v>
      </c>
      <c r="AA20" s="3">
        <f t="shared" si="2"/>
        <v>19</v>
      </c>
      <c r="AB20" s="3" t="s">
        <v>537</v>
      </c>
      <c r="AG20" s="3" t="s">
        <v>183</v>
      </c>
      <c r="AH20" s="3" t="s">
        <v>360</v>
      </c>
      <c r="AS20" s="14"/>
      <c r="AY20" s="3" t="s">
        <v>361</v>
      </c>
      <c r="AZ20" s="12" t="str">
        <f t="shared" si="0"/>
        <v>=3、合并报表!R68C222</v>
      </c>
      <c r="BA20" s="12">
        <v>68</v>
      </c>
    </row>
    <row r="21" spans="1:53" ht="15.75">
      <c r="A21" s="16"/>
      <c r="B21" s="13"/>
      <c r="G21" s="3" t="s">
        <v>362</v>
      </c>
      <c r="H21" s="3" t="s">
        <v>363</v>
      </c>
      <c r="S21" s="15"/>
      <c r="U21" s="3" t="s">
        <v>364</v>
      </c>
      <c r="V21" s="3" t="s">
        <v>365</v>
      </c>
      <c r="Z21" s="3" t="s">
        <v>549</v>
      </c>
      <c r="AA21" s="3">
        <f t="shared" si="2"/>
        <v>20</v>
      </c>
      <c r="AB21" s="3" t="s">
        <v>538</v>
      </c>
      <c r="AG21" s="3" t="s">
        <v>183</v>
      </c>
      <c r="AH21" s="3" t="s">
        <v>366</v>
      </c>
      <c r="AS21" s="14"/>
      <c r="AY21" s="3" t="s">
        <v>367</v>
      </c>
      <c r="AZ21" s="12" t="str">
        <f t="shared" si="0"/>
        <v>=3、合并报表!R69C222</v>
      </c>
      <c r="BA21" s="12">
        <v>69</v>
      </c>
    </row>
    <row r="22" spans="1:53" ht="15.75">
      <c r="A22" s="16"/>
      <c r="B22" s="13"/>
      <c r="G22" s="3" t="s">
        <v>368</v>
      </c>
      <c r="H22" s="3" t="s">
        <v>369</v>
      </c>
      <c r="S22" s="15"/>
      <c r="U22" s="3" t="s">
        <v>370</v>
      </c>
      <c r="V22" s="3" t="s">
        <v>371</v>
      </c>
      <c r="Z22" s="3" t="s">
        <v>549</v>
      </c>
      <c r="AA22" s="3">
        <f t="shared" si="2"/>
        <v>21</v>
      </c>
      <c r="AB22" s="3" t="s">
        <v>539</v>
      </c>
      <c r="AG22" s="3" t="s">
        <v>183</v>
      </c>
      <c r="AH22" s="3" t="s">
        <v>372</v>
      </c>
      <c r="AS22" s="14"/>
      <c r="AY22" s="3" t="s">
        <v>373</v>
      </c>
      <c r="AZ22" s="12" t="str">
        <f t="shared" si="0"/>
        <v>=3、合并报表!R70C222</v>
      </c>
      <c r="BA22" s="12">
        <v>70</v>
      </c>
    </row>
    <row r="23" spans="1:53" ht="15.75">
      <c r="A23" s="16"/>
      <c r="B23" s="13"/>
      <c r="G23" s="3" t="s">
        <v>374</v>
      </c>
      <c r="H23" s="3" t="s">
        <v>375</v>
      </c>
      <c r="S23" s="15"/>
      <c r="U23" s="3" t="s">
        <v>376</v>
      </c>
      <c r="V23" s="3" t="s">
        <v>377</v>
      </c>
      <c r="Z23" s="3" t="s">
        <v>549</v>
      </c>
      <c r="AA23" s="3">
        <f t="shared" si="2"/>
        <v>22</v>
      </c>
      <c r="AB23" s="3" t="s">
        <v>540</v>
      </c>
      <c r="AG23" s="3" t="s">
        <v>183</v>
      </c>
      <c r="AH23" s="3" t="s">
        <v>378</v>
      </c>
      <c r="AS23" s="14"/>
      <c r="AY23" s="3" t="s">
        <v>379</v>
      </c>
      <c r="AZ23" s="12" t="str">
        <f t="shared" si="0"/>
        <v>=3、合并报表!R71C222</v>
      </c>
      <c r="BA23" s="12">
        <v>71</v>
      </c>
    </row>
    <row r="24" spans="1:53">
      <c r="A24" s="17"/>
      <c r="B24" s="13"/>
      <c r="G24" s="3" t="s">
        <v>380</v>
      </c>
      <c r="H24" s="3" t="s">
        <v>381</v>
      </c>
      <c r="U24" s="3" t="s">
        <v>382</v>
      </c>
      <c r="V24" s="3" t="s">
        <v>383</v>
      </c>
      <c r="Z24" s="3" t="s">
        <v>549</v>
      </c>
      <c r="AA24" s="3">
        <f t="shared" si="2"/>
        <v>23</v>
      </c>
      <c r="AB24" s="3" t="s">
        <v>541</v>
      </c>
      <c r="AG24" s="3" t="s">
        <v>183</v>
      </c>
      <c r="AH24" s="3" t="s">
        <v>384</v>
      </c>
      <c r="AS24" s="14"/>
      <c r="AY24" s="3" t="s">
        <v>385</v>
      </c>
      <c r="AZ24" s="12" t="str">
        <f t="shared" si="0"/>
        <v>=3、合并报表!R72C222</v>
      </c>
      <c r="BA24" s="12">
        <v>72</v>
      </c>
    </row>
    <row r="25" spans="1:53">
      <c r="A25" s="16"/>
      <c r="B25" s="13"/>
      <c r="G25" s="3" t="s">
        <v>386</v>
      </c>
      <c r="H25" s="3" t="s">
        <v>387</v>
      </c>
      <c r="U25" s="3" t="s">
        <v>388</v>
      </c>
      <c r="V25" s="3" t="s">
        <v>389</v>
      </c>
      <c r="Z25" s="3" t="s">
        <v>549</v>
      </c>
      <c r="AA25" s="3">
        <f t="shared" si="2"/>
        <v>24</v>
      </c>
      <c r="AB25" s="3" t="s">
        <v>542</v>
      </c>
      <c r="AG25" s="3" t="s">
        <v>183</v>
      </c>
      <c r="AH25" s="3" t="s">
        <v>390</v>
      </c>
      <c r="AS25" s="14"/>
      <c r="AY25" s="3" t="s">
        <v>391</v>
      </c>
      <c r="AZ25" s="12" t="str">
        <f t="shared" si="0"/>
        <v>=3、合并报表!R73C222</v>
      </c>
      <c r="BA25" s="12">
        <v>73</v>
      </c>
    </row>
    <row r="26" spans="1:53">
      <c r="A26" s="17"/>
      <c r="B26" s="13"/>
      <c r="G26" s="3" t="s">
        <v>392</v>
      </c>
      <c r="H26" s="3" t="s">
        <v>393</v>
      </c>
      <c r="U26" s="3" t="s">
        <v>394</v>
      </c>
      <c r="V26" s="3" t="s">
        <v>395</v>
      </c>
      <c r="Z26" s="3" t="s">
        <v>549</v>
      </c>
      <c r="AA26" s="3">
        <f t="shared" si="2"/>
        <v>25</v>
      </c>
      <c r="AB26" s="3" t="s">
        <v>543</v>
      </c>
      <c r="AG26" s="3" t="s">
        <v>183</v>
      </c>
      <c r="AH26" s="3" t="s">
        <v>396</v>
      </c>
      <c r="AS26" s="14"/>
      <c r="AY26" s="3" t="s">
        <v>397</v>
      </c>
      <c r="AZ26" s="12" t="str">
        <f t="shared" si="0"/>
        <v>=3、合并报表!R74C222</v>
      </c>
      <c r="BA26" s="12">
        <v>74</v>
      </c>
    </row>
    <row r="27" spans="1:53">
      <c r="A27" s="16"/>
      <c r="B27" s="13"/>
      <c r="G27" s="3" t="s">
        <v>398</v>
      </c>
      <c r="H27" s="3" t="s">
        <v>399</v>
      </c>
      <c r="U27" s="3" t="s">
        <v>400</v>
      </c>
      <c r="V27" s="3" t="s">
        <v>401</v>
      </c>
      <c r="Z27" s="3" t="s">
        <v>549</v>
      </c>
      <c r="AA27" s="3">
        <f t="shared" si="2"/>
        <v>26</v>
      </c>
      <c r="AB27" s="3" t="s">
        <v>544</v>
      </c>
      <c r="AG27" s="3" t="s">
        <v>183</v>
      </c>
      <c r="AH27" s="3" t="s">
        <v>402</v>
      </c>
      <c r="AS27" s="14"/>
      <c r="AY27" s="3" t="s">
        <v>403</v>
      </c>
      <c r="AZ27" s="12" t="str">
        <f t="shared" si="0"/>
        <v>=3、合并报表!R75C222</v>
      </c>
      <c r="BA27" s="12">
        <v>75</v>
      </c>
    </row>
    <row r="28" spans="1:53">
      <c r="A28" s="16"/>
      <c r="B28" s="13"/>
      <c r="G28" s="3" t="s">
        <v>404</v>
      </c>
      <c r="H28" s="3" t="s">
        <v>405</v>
      </c>
      <c r="U28" s="3" t="s">
        <v>406</v>
      </c>
      <c r="V28" s="3" t="s">
        <v>407</v>
      </c>
      <c r="Z28" s="3" t="s">
        <v>549</v>
      </c>
      <c r="AA28" s="3">
        <f t="shared" si="2"/>
        <v>27</v>
      </c>
      <c r="AB28" s="3" t="s">
        <v>545</v>
      </c>
      <c r="AG28" s="3" t="s">
        <v>183</v>
      </c>
      <c r="AH28" s="3" t="s">
        <v>408</v>
      </c>
      <c r="AS28" s="14"/>
      <c r="BA28" s="12"/>
    </row>
    <row r="29" spans="1:53">
      <c r="A29" s="17"/>
      <c r="B29" s="13"/>
      <c r="G29" s="3" t="s">
        <v>409</v>
      </c>
      <c r="H29" s="3" t="s">
        <v>410</v>
      </c>
      <c r="U29" s="3" t="s">
        <v>411</v>
      </c>
      <c r="V29" s="3" t="s">
        <v>412</v>
      </c>
      <c r="AG29" s="3" t="s">
        <v>183</v>
      </c>
      <c r="AH29" s="3" t="s">
        <v>413</v>
      </c>
      <c r="AS29" s="14"/>
      <c r="BA29" s="12"/>
    </row>
    <row r="30" spans="1:53">
      <c r="A30" s="16"/>
      <c r="B30" s="13"/>
      <c r="G30" s="3" t="s">
        <v>414</v>
      </c>
      <c r="H30" s="3" t="s">
        <v>415</v>
      </c>
      <c r="U30" s="3" t="s">
        <v>416</v>
      </c>
      <c r="V30" s="3" t="s">
        <v>417</v>
      </c>
      <c r="AG30" s="3" t="s">
        <v>183</v>
      </c>
      <c r="AH30" s="3" t="s">
        <v>418</v>
      </c>
      <c r="AS30" s="14"/>
      <c r="BA30" s="12"/>
    </row>
    <row r="31" spans="1:53">
      <c r="A31" s="16"/>
      <c r="B31" s="13"/>
      <c r="G31" s="3" t="s">
        <v>419</v>
      </c>
      <c r="H31" s="3" t="s">
        <v>420</v>
      </c>
      <c r="U31" s="3" t="s">
        <v>421</v>
      </c>
      <c r="V31" s="3" t="s">
        <v>422</v>
      </c>
      <c r="AG31" s="3" t="s">
        <v>183</v>
      </c>
      <c r="AH31" s="3" t="s">
        <v>423</v>
      </c>
      <c r="AS31" s="14"/>
      <c r="BA31" s="12"/>
    </row>
    <row r="32" spans="1:53">
      <c r="A32" s="17"/>
      <c r="B32" s="13"/>
      <c r="G32" s="3" t="s">
        <v>424</v>
      </c>
      <c r="H32" s="3" t="s">
        <v>425</v>
      </c>
      <c r="U32" s="3" t="s">
        <v>426</v>
      </c>
      <c r="V32" s="3" t="s">
        <v>427</v>
      </c>
      <c r="AG32" s="3" t="s">
        <v>183</v>
      </c>
      <c r="AH32" s="3" t="s">
        <v>428</v>
      </c>
      <c r="AS32" s="14"/>
      <c r="BA32" s="12"/>
    </row>
    <row r="33" spans="1:53">
      <c r="A33" s="16"/>
      <c r="B33" s="13"/>
      <c r="G33" s="3" t="s">
        <v>429</v>
      </c>
      <c r="H33" s="3" t="s">
        <v>430</v>
      </c>
      <c r="U33" s="3" t="s">
        <v>431</v>
      </c>
      <c r="V33" s="3" t="s">
        <v>432</v>
      </c>
      <c r="AG33" s="3" t="s">
        <v>183</v>
      </c>
      <c r="AH33" s="3" t="s">
        <v>433</v>
      </c>
      <c r="AS33" s="14"/>
      <c r="BA33" s="12"/>
    </row>
    <row r="34" spans="1:53">
      <c r="A34" s="16"/>
      <c r="B34" s="13"/>
      <c r="G34" s="3" t="s">
        <v>434</v>
      </c>
      <c r="H34" s="3" t="s">
        <v>435</v>
      </c>
      <c r="U34" s="3" t="s">
        <v>436</v>
      </c>
      <c r="V34" s="3" t="s">
        <v>437</v>
      </c>
      <c r="AG34" s="3" t="s">
        <v>183</v>
      </c>
      <c r="AH34" s="3" t="s">
        <v>438</v>
      </c>
      <c r="AS34" s="14"/>
      <c r="BA34" s="12"/>
    </row>
    <row r="35" spans="1:53">
      <c r="A35" s="16"/>
      <c r="B35" s="13"/>
      <c r="G35" s="3" t="s">
        <v>439</v>
      </c>
      <c r="H35" s="3" t="s">
        <v>440</v>
      </c>
      <c r="U35" s="3" t="s">
        <v>441</v>
      </c>
      <c r="V35" s="3" t="s">
        <v>442</v>
      </c>
      <c r="AG35" s="3" t="s">
        <v>183</v>
      </c>
      <c r="AH35" s="3" t="s">
        <v>443</v>
      </c>
      <c r="AS35" s="14"/>
      <c r="BA35" s="12"/>
    </row>
    <row r="36" spans="1:53">
      <c r="A36" s="16"/>
      <c r="B36" s="13"/>
      <c r="G36" s="3" t="s">
        <v>444</v>
      </c>
      <c r="H36" s="3" t="s">
        <v>445</v>
      </c>
      <c r="U36" s="3" t="s">
        <v>446</v>
      </c>
      <c r="V36" s="3" t="s">
        <v>447</v>
      </c>
      <c r="AG36" s="3" t="s">
        <v>183</v>
      </c>
      <c r="AH36" s="3" t="s">
        <v>448</v>
      </c>
      <c r="AS36" s="14"/>
      <c r="BA36" s="12"/>
    </row>
    <row r="37" spans="1:53">
      <c r="A37" s="17"/>
      <c r="B37" s="13"/>
      <c r="G37" s="3" t="s">
        <v>449</v>
      </c>
      <c r="H37" s="3" t="s">
        <v>450</v>
      </c>
      <c r="U37" s="3" t="s">
        <v>451</v>
      </c>
      <c r="V37" s="3" t="s">
        <v>452</v>
      </c>
      <c r="AG37" s="3" t="s">
        <v>183</v>
      </c>
      <c r="AH37" s="3" t="s">
        <v>453</v>
      </c>
      <c r="AS37" s="14"/>
      <c r="BA37" s="12"/>
    </row>
    <row r="38" spans="1:53">
      <c r="A38" s="17"/>
      <c r="B38" s="13"/>
      <c r="G38" s="3" t="s">
        <v>454</v>
      </c>
      <c r="H38" s="3" t="s">
        <v>455</v>
      </c>
      <c r="U38" s="3" t="s">
        <v>456</v>
      </c>
      <c r="V38" s="3" t="s">
        <v>457</v>
      </c>
      <c r="AG38" s="3" t="s">
        <v>183</v>
      </c>
      <c r="AH38" s="3" t="s">
        <v>458</v>
      </c>
      <c r="AS38" s="14"/>
      <c r="BA38" s="12"/>
    </row>
    <row r="39" spans="1:53">
      <c r="A39" s="16"/>
      <c r="B39" s="13"/>
      <c r="G39" s="3" t="s">
        <v>459</v>
      </c>
      <c r="H39" s="3" t="s">
        <v>460</v>
      </c>
      <c r="U39" s="3" t="s">
        <v>461</v>
      </c>
      <c r="V39" s="3" t="s">
        <v>462</v>
      </c>
      <c r="AG39" s="3" t="s">
        <v>183</v>
      </c>
      <c r="AH39" s="3" t="s">
        <v>463</v>
      </c>
      <c r="AS39" s="14"/>
      <c r="BA39" s="12"/>
    </row>
    <row r="40" spans="1:53">
      <c r="A40" s="16"/>
      <c r="B40" s="13"/>
      <c r="G40" s="3" t="s">
        <v>464</v>
      </c>
      <c r="H40" s="3" t="s">
        <v>465</v>
      </c>
      <c r="U40" s="3" t="s">
        <v>466</v>
      </c>
      <c r="V40" s="3" t="s">
        <v>467</v>
      </c>
      <c r="AG40" s="3" t="s">
        <v>183</v>
      </c>
      <c r="AH40" s="3" t="s">
        <v>468</v>
      </c>
      <c r="AS40" s="14"/>
      <c r="BA40" s="12"/>
    </row>
    <row r="41" spans="1:53">
      <c r="A41" s="16"/>
      <c r="B41" s="13"/>
      <c r="G41" s="3" t="s">
        <v>469</v>
      </c>
      <c r="H41" s="3" t="s">
        <v>470</v>
      </c>
      <c r="U41" s="3" t="s">
        <v>471</v>
      </c>
      <c r="V41" s="3" t="s">
        <v>472</v>
      </c>
      <c r="AG41" s="3" t="s">
        <v>183</v>
      </c>
      <c r="AH41" s="3" t="s">
        <v>473</v>
      </c>
      <c r="AS41" s="14"/>
      <c r="BA41" s="12"/>
    </row>
    <row r="42" spans="1:53">
      <c r="A42" s="17"/>
      <c r="B42" s="13"/>
      <c r="U42" s="3" t="s">
        <v>474</v>
      </c>
      <c r="V42" s="3" t="s">
        <v>475</v>
      </c>
      <c r="AG42" s="3" t="s">
        <v>183</v>
      </c>
      <c r="AH42" s="3" t="s">
        <v>476</v>
      </c>
      <c r="AS42" s="14"/>
      <c r="BA42" s="12"/>
    </row>
    <row r="43" spans="1:53">
      <c r="A43" s="16"/>
      <c r="B43" s="13"/>
      <c r="U43" s="3" t="s">
        <v>477</v>
      </c>
      <c r="V43" s="3" t="s">
        <v>478</v>
      </c>
      <c r="AG43" s="3" t="s">
        <v>183</v>
      </c>
      <c r="AH43" s="3" t="s">
        <v>479</v>
      </c>
      <c r="AS43" s="14"/>
      <c r="BA43" s="12"/>
    </row>
    <row r="44" spans="1:53">
      <c r="A44" s="13"/>
      <c r="B44" s="16"/>
      <c r="U44" s="3" t="s">
        <v>480</v>
      </c>
      <c r="V44" s="3" t="s">
        <v>481</v>
      </c>
      <c r="AG44" s="3" t="s">
        <v>183</v>
      </c>
      <c r="AH44" s="3" t="s">
        <v>482</v>
      </c>
      <c r="AS44" s="14"/>
      <c r="BA44" s="12"/>
    </row>
    <row r="45" spans="1:53">
      <c r="A45" s="13"/>
      <c r="B45" s="16"/>
      <c r="U45" s="3" t="s">
        <v>483</v>
      </c>
      <c r="V45" s="3" t="s">
        <v>484</v>
      </c>
      <c r="AG45" s="3" t="s">
        <v>183</v>
      </c>
      <c r="AH45" s="3" t="s">
        <v>485</v>
      </c>
      <c r="AS45" s="14"/>
      <c r="BA45" s="12"/>
    </row>
    <row r="46" spans="1:53">
      <c r="A46" s="13"/>
      <c r="B46" s="17"/>
      <c r="U46" s="3" t="s">
        <v>486</v>
      </c>
      <c r="V46" s="3" t="s">
        <v>487</v>
      </c>
      <c r="AG46" s="3" t="s">
        <v>183</v>
      </c>
      <c r="AH46" s="3" t="s">
        <v>488</v>
      </c>
      <c r="AS46" s="14"/>
      <c r="BA46" s="12"/>
    </row>
    <row r="47" spans="1:53">
      <c r="A47" s="13"/>
      <c r="B47" s="16"/>
      <c r="U47" s="3" t="s">
        <v>489</v>
      </c>
      <c r="V47" s="3" t="s">
        <v>490</v>
      </c>
      <c r="AS47" s="14"/>
      <c r="BA47" s="12"/>
    </row>
    <row r="48" spans="1:53">
      <c r="A48" s="13"/>
      <c r="B48" s="16"/>
      <c r="U48" s="3" t="s">
        <v>491</v>
      </c>
      <c r="V48" s="3" t="s">
        <v>492</v>
      </c>
      <c r="AS48" s="14"/>
      <c r="BA48" s="12"/>
    </row>
    <row r="49" spans="1:53">
      <c r="A49" s="13"/>
      <c r="B49" s="16"/>
      <c r="U49" s="3" t="s">
        <v>493</v>
      </c>
      <c r="V49" s="3" t="s">
        <v>494</v>
      </c>
      <c r="AS49" s="14"/>
      <c r="BA49" s="12"/>
    </row>
    <row r="50" spans="1:53">
      <c r="A50" s="13"/>
      <c r="B50" s="16"/>
      <c r="U50" s="3" t="s">
        <v>495</v>
      </c>
      <c r="V50" s="3" t="s">
        <v>496</v>
      </c>
      <c r="AS50" s="14"/>
      <c r="BA50" s="12"/>
    </row>
    <row r="51" spans="1:53">
      <c r="A51" s="13"/>
      <c r="B51" s="16"/>
      <c r="AS51" s="14"/>
      <c r="BA51" s="12"/>
    </row>
    <row r="52" spans="1:53">
      <c r="A52" s="13"/>
      <c r="B52" s="17"/>
      <c r="AS52" s="14"/>
      <c r="BA52" s="12"/>
    </row>
    <row r="53" spans="1:53">
      <c r="A53" s="13"/>
      <c r="B53" s="17"/>
      <c r="AS53" s="14"/>
      <c r="BA53" s="12"/>
    </row>
    <row r="54" spans="1:53">
      <c r="A54" s="13"/>
      <c r="B54" s="16"/>
      <c r="AS54" s="14"/>
      <c r="BA54" s="12"/>
    </row>
    <row r="55" spans="1:53">
      <c r="A55" s="13"/>
      <c r="B55" s="16"/>
      <c r="AS55" s="14"/>
      <c r="BA55" s="12"/>
    </row>
    <row r="56" spans="1:53">
      <c r="A56" s="13"/>
      <c r="B56" s="16"/>
      <c r="AS56" s="14"/>
      <c r="BA56" s="12"/>
    </row>
    <row r="57" spans="1:53">
      <c r="A57" s="13"/>
      <c r="B57" s="16"/>
      <c r="AS57" s="14"/>
      <c r="BA57" s="12"/>
    </row>
    <row r="58" spans="1:53">
      <c r="A58" s="13"/>
      <c r="B58" s="16"/>
      <c r="AS58" s="14"/>
      <c r="BA58" s="12"/>
    </row>
    <row r="59" spans="1:53">
      <c r="A59" s="13"/>
      <c r="B59" s="16"/>
      <c r="AS59" s="14"/>
      <c r="BA59" s="12"/>
    </row>
    <row r="60" spans="1:53">
      <c r="A60" s="13"/>
      <c r="B60" s="16"/>
      <c r="AS60" s="14"/>
      <c r="BA60" s="12"/>
    </row>
    <row r="61" spans="1:53">
      <c r="A61" s="13"/>
      <c r="B61" s="17"/>
      <c r="AS61" s="14"/>
      <c r="BA61" s="12"/>
    </row>
    <row r="62" spans="1:53">
      <c r="A62" s="13"/>
      <c r="B62" s="16"/>
      <c r="AS62" s="14"/>
      <c r="BA62" s="12"/>
    </row>
    <row r="63" spans="1:53">
      <c r="A63" s="13"/>
      <c r="B63" s="16"/>
      <c r="BA63" s="12"/>
    </row>
    <row r="64" spans="1:53">
      <c r="A64" s="13"/>
      <c r="B64" s="16"/>
      <c r="BA64" s="12"/>
    </row>
    <row r="65" spans="1:53">
      <c r="A65" s="13"/>
      <c r="B65" s="16"/>
      <c r="BA65" s="12"/>
    </row>
    <row r="66" spans="1:53">
      <c r="A66" s="13"/>
      <c r="B66" s="16"/>
      <c r="BA66" s="12"/>
    </row>
    <row r="67" spans="1:53">
      <c r="A67" s="13"/>
      <c r="B67" s="16"/>
      <c r="BA67" s="12"/>
    </row>
    <row r="68" spans="1:53">
      <c r="A68" s="13"/>
      <c r="B68" s="17"/>
      <c r="BA68" s="12"/>
    </row>
    <row r="69" spans="1:53">
      <c r="A69" s="19"/>
      <c r="B69" s="19"/>
      <c r="BA69" s="12"/>
    </row>
    <row r="70" spans="1:53">
      <c r="BA70" s="12"/>
    </row>
    <row r="71" spans="1:53">
      <c r="BA71" s="12"/>
    </row>
    <row r="72" spans="1:53">
      <c r="BA72" s="12"/>
    </row>
    <row r="73" spans="1:53">
      <c r="BA73" s="12"/>
    </row>
    <row r="74" spans="1:53">
      <c r="BA74" s="12"/>
    </row>
    <row r="75" spans="1:53">
      <c r="BA75" s="12"/>
    </row>
    <row r="76" spans="1:53">
      <c r="BA76" s="12"/>
    </row>
    <row r="77" spans="1:53">
      <c r="BA77" s="12"/>
    </row>
    <row r="78" spans="1:53">
      <c r="BA78" s="12"/>
    </row>
    <row r="79" spans="1:53">
      <c r="BA79" s="12"/>
    </row>
    <row r="80" spans="1:53">
      <c r="BA80" s="12"/>
    </row>
    <row r="81" spans="53:53">
      <c r="BA81" s="12"/>
    </row>
    <row r="82" spans="53:53">
      <c r="BA82" s="12"/>
    </row>
    <row r="83" spans="53:53">
      <c r="BA83" s="12"/>
    </row>
    <row r="84" spans="53:53">
      <c r="BA84" s="12"/>
    </row>
    <row r="85" spans="53:53">
      <c r="BA85" s="12"/>
    </row>
    <row r="86" spans="53:53">
      <c r="BA86" s="12"/>
    </row>
    <row r="87" spans="53:53">
      <c r="BA87" s="12"/>
    </row>
    <row r="88" spans="53:53">
      <c r="BA88" s="12"/>
    </row>
    <row r="89" spans="53:53">
      <c r="BA89" s="12"/>
    </row>
    <row r="90" spans="53:53">
      <c r="BA90" s="12"/>
    </row>
    <row r="91" spans="53:53">
      <c r="BA91" s="12"/>
    </row>
    <row r="92" spans="53:53">
      <c r="BA92" s="12"/>
    </row>
    <row r="93" spans="53:53">
      <c r="BA93" s="12"/>
    </row>
    <row r="94" spans="53:53">
      <c r="BA94" s="12"/>
    </row>
    <row r="95" spans="53:53">
      <c r="BA95" s="12"/>
    </row>
    <row r="96" spans="53:53">
      <c r="BA96" s="12"/>
    </row>
    <row r="97" spans="53:53">
      <c r="BA97" s="12"/>
    </row>
    <row r="98" spans="53:53">
      <c r="BA98" s="12"/>
    </row>
  </sheetData>
  <autoFilter ref="A1:AX1" xr:uid="{00000000-0009-0000-0000-000005000000}"/>
  <phoneticPr fontId="11" type="noConversion"/>
  <conditionalFormatting sqref="A13:A43">
    <cfRule type="duplicateValues" dxfId="3" priority="3" stopIfTrue="1"/>
  </conditionalFormatting>
  <conditionalFormatting sqref="D13:D23">
    <cfRule type="duplicateValues" dxfId="2" priority="2" stopIfTrue="1"/>
  </conditionalFormatting>
  <conditionalFormatting sqref="B44:B68">
    <cfRule type="duplicateValues" dxfId="1" priority="4" stopIfTrue="1"/>
  </conditionalFormatting>
  <conditionalFormatting sqref="D2">
    <cfRule type="duplicateValues" dxfId="0" priority="1" stopIfTrue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AC0C7-1173-45A6-AF53-9704EF5FAB56}">
  <sheetPr codeName="Sheet1"/>
  <dimension ref="A1:H14"/>
  <sheetViews>
    <sheetView workbookViewId="0">
      <selection activeCell="D9" sqref="D9"/>
    </sheetView>
  </sheetViews>
  <sheetFormatPr defaultRowHeight="15"/>
  <cols>
    <col min="1" max="1" width="9.140625" style="20"/>
    <col min="2" max="2" width="47.28515625" style="20" bestFit="1" customWidth="1"/>
    <col min="3" max="8" width="12.28515625" style="20" customWidth="1"/>
    <col min="9" max="16384" width="9.140625" style="20"/>
  </cols>
  <sheetData>
    <row r="1" spans="1:8">
      <c r="A1" s="20" t="s">
        <v>695</v>
      </c>
      <c r="B1" s="20" t="s">
        <v>694</v>
      </c>
      <c r="C1" s="20" t="str">
        <f t="shared" ref="C1:H1" si="0">B1</f>
        <v>1、2023年Data-水泥板块-西控集团-2023-6-30.xlsx</v>
      </c>
      <c r="D1" s="20" t="str">
        <f t="shared" si="0"/>
        <v>1、2023年Data-水泥板块-西控集团-2023-6-30.xlsx</v>
      </c>
      <c r="E1" s="20" t="str">
        <f t="shared" si="0"/>
        <v>1、2023年Data-水泥板块-西控集团-2023-6-30.xlsx</v>
      </c>
      <c r="F1" s="20" t="str">
        <f t="shared" si="0"/>
        <v>1、2023年Data-水泥板块-西控集团-2023-6-30.xlsx</v>
      </c>
      <c r="G1" s="20" t="str">
        <f t="shared" si="0"/>
        <v>1、2023年Data-水泥板块-西控集团-2023-6-30.xlsx</v>
      </c>
      <c r="H1" s="20" t="str">
        <f t="shared" si="0"/>
        <v>1、2023年Data-水泥板块-西控集团-2023-6-30.xlsx</v>
      </c>
    </row>
    <row r="2" spans="1:8">
      <c r="A2" s="20" t="s">
        <v>693</v>
      </c>
      <c r="B2" s="20" t="s">
        <v>692</v>
      </c>
      <c r="C2" s="20" t="s">
        <v>691</v>
      </c>
      <c r="D2" s="20" t="s">
        <v>690</v>
      </c>
      <c r="E2" s="20" t="s">
        <v>689</v>
      </c>
      <c r="F2" s="20" t="s">
        <v>688</v>
      </c>
      <c r="G2" s="20" t="s">
        <v>687</v>
      </c>
      <c r="H2" s="20" t="s">
        <v>686</v>
      </c>
    </row>
    <row r="3" spans="1:8">
      <c r="A3" s="20" t="s">
        <v>685</v>
      </c>
      <c r="B3" s="20">
        <v>398</v>
      </c>
      <c r="C3" s="20">
        <f t="shared" ref="C3:H4" si="1">B3</f>
        <v>398</v>
      </c>
      <c r="D3" s="20">
        <f t="shared" si="1"/>
        <v>398</v>
      </c>
      <c r="E3" s="20">
        <f t="shared" si="1"/>
        <v>398</v>
      </c>
      <c r="F3" s="20">
        <f t="shared" si="1"/>
        <v>398</v>
      </c>
      <c r="G3" s="20">
        <f t="shared" si="1"/>
        <v>398</v>
      </c>
      <c r="H3" s="20">
        <f t="shared" si="1"/>
        <v>398</v>
      </c>
    </row>
    <row r="4" spans="1:8">
      <c r="A4" s="20" t="s">
        <v>684</v>
      </c>
      <c r="B4" s="20">
        <v>14</v>
      </c>
      <c r="C4" s="20">
        <f t="shared" si="1"/>
        <v>14</v>
      </c>
      <c r="D4" s="20">
        <f t="shared" si="1"/>
        <v>14</v>
      </c>
      <c r="E4" s="20">
        <f t="shared" si="1"/>
        <v>14</v>
      </c>
      <c r="F4" s="20">
        <f t="shared" si="1"/>
        <v>14</v>
      </c>
      <c r="G4" s="20">
        <f t="shared" si="1"/>
        <v>14</v>
      </c>
      <c r="H4" s="20">
        <f t="shared" si="1"/>
        <v>14</v>
      </c>
    </row>
    <row r="5" spans="1:8">
      <c r="A5" s="20" t="s">
        <v>683</v>
      </c>
      <c r="B5" s="21" t="e" cm="1">
        <f t="array" aca="1" ref="B5" ca="1">INDIRECT(ADDRESS(B3,B4,1,1,"["&amp;B1&amp;"]"&amp;B2))</f>
        <v>#REF!</v>
      </c>
      <c r="C5" s="21" t="e" cm="1">
        <f t="array" aca="1" ref="C5" ca="1">INDIRECT(ADDRESS(C3,C4,1,1,"["&amp;C1&amp;"]"&amp;C2))</f>
        <v>#REF!</v>
      </c>
      <c r="D5" s="21" t="e" cm="1">
        <f t="array" aca="1" ref="D5" ca="1">INDIRECT(ADDRESS(D3,D4,1,1,"["&amp;D1&amp;"]"&amp;D2))</f>
        <v>#REF!</v>
      </c>
      <c r="E5" s="21" t="e" cm="1">
        <f t="array" aca="1" ref="E5" ca="1">INDIRECT(ADDRESS(E3,E4,1,1,"["&amp;E1&amp;"]"&amp;E2))</f>
        <v>#REF!</v>
      </c>
      <c r="F5" s="21" t="e" cm="1">
        <f t="array" aca="1" ref="F5" ca="1">INDIRECT(ADDRESS(F3,F4,1,1,"["&amp;F1&amp;"]"&amp;F2))</f>
        <v>#REF!</v>
      </c>
      <c r="G5" s="21" t="e" cm="1">
        <f t="array" aca="1" ref="G5" ca="1">INDIRECT(ADDRESS(G3,G4,1,1,"["&amp;G1&amp;"]"&amp;G2))</f>
        <v>#REF!</v>
      </c>
      <c r="H5" s="21" t="e" cm="1">
        <f t="array" aca="1" ref="H5" ca="1">INDIRECT(ADDRESS(H3,H4,1,1,"["&amp;H1&amp;"]"&amp;H2))</f>
        <v>#REF!</v>
      </c>
    </row>
    <row r="14" spans="1:8">
      <c r="B14" s="20">
        <f>[2]total!$D$6</f>
        <v>6748.96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Sheets</vt:lpstr>
      <vt:lpstr>Formulas</vt:lpstr>
      <vt:lpstr>temp</vt:lpstr>
      <vt:lpstr>sys</vt:lpstr>
      <vt:lpstr>Batch</vt:lpstr>
      <vt:lpstr>取数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追风</dc:creator>
  <cp:lastModifiedBy>user</cp:lastModifiedBy>
  <dcterms:created xsi:type="dcterms:W3CDTF">2021-05-13T13:04:39Z</dcterms:created>
  <dcterms:modified xsi:type="dcterms:W3CDTF">2024-11-22T05:33:03Z</dcterms:modified>
</cp:coreProperties>
</file>